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subasf\Desktop\Dec.103\"/>
    </mc:Choice>
  </mc:AlternateContent>
  <xr:revisionPtr revIDLastSave="0" documentId="8_{DA0BFDB0-07B2-4BB2-8917-2F713DF7EEA5}" xr6:coauthVersionLast="47" xr6:coauthVersionMax="47" xr10:uidLastSave="{00000000-0000-0000-0000-000000000000}"/>
  <bookViews>
    <workbookView xWindow="-93" yWindow="-93" windowWidth="25786" windowHeight="13866" xr2:uid="{5537DAA8-0718-44EF-940D-16606A7BD94C}"/>
  </bookViews>
  <sheets>
    <sheet name="Table_S.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<sst xmlns="http://schemas.openxmlformats.org/spreadsheetml/2006/main" count="61" uniqueCount="33">
  <si>
    <t>Phi_P_Values</t>
  </si>
  <si>
    <t>Pair</t>
  </si>
  <si>
    <t>a</t>
  </si>
  <si>
    <t>b</t>
  </si>
  <si>
    <t>c</t>
  </si>
  <si>
    <t>d</t>
  </si>
  <si>
    <t>N</t>
  </si>
  <si>
    <t>Co_adoption_count</t>
  </si>
  <si>
    <t>Co_adoption_percentage %</t>
  </si>
  <si>
    <t>Phi</t>
  </si>
  <si>
    <t>p_value</t>
  </si>
  <si>
    <t>Bonferroni_p</t>
  </si>
  <si>
    <t>FDR_BH_p</t>
  </si>
  <si>
    <t>Sig_Uncorrected</t>
  </si>
  <si>
    <t>Sig_Bonf</t>
  </si>
  <si>
    <t>Sig_FDR</t>
  </si>
  <si>
    <t>C1+C2</t>
  </si>
  <si>
    <t>No</t>
  </si>
  <si>
    <t>C1+C3</t>
  </si>
  <si>
    <t>C1+C4</t>
  </si>
  <si>
    <t>C1+C5</t>
  </si>
  <si>
    <t>C1+C6</t>
  </si>
  <si>
    <t>C2+C3</t>
  </si>
  <si>
    <t>C2+C4</t>
  </si>
  <si>
    <t>C2+C5</t>
  </si>
  <si>
    <t>C2+C6</t>
  </si>
  <si>
    <t>C3+C4</t>
  </si>
  <si>
    <t>C3+C5</t>
  </si>
  <si>
    <t>C3+C6</t>
  </si>
  <si>
    <t>Yes</t>
  </si>
  <si>
    <t>C4+C5</t>
  </si>
  <si>
    <t>C4+C6</t>
  </si>
  <si>
    <t>C5+C6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</si>
</sst>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aj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2D14FB7B-258C-4EB3-AA19-BB04C8A6FA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3436-5821-460F-8EB9-6F9F67A5BF7A}">
  <dimension ref="A1:T17"/>
  <sheetViews>
    <sheetView tabSelected="1" workbookViewId="0">
      <selection activeCell="H31" sqref="H31"/>
    </sheetView>
  </sheetViews>
  <sheetFormatPr defaultRowHeight="14.35" x14ac:dyDescent="0.5"/>
  <cols>
    <col min="7" max="7" width="16.76171875" bestFit="1" customWidth="1"/>
    <col min="8" max="8" width="23.234375" bestFit="1" customWidth="1"/>
    <col min="9" max="9" width="6.8203125" bestFit="1" customWidth="1"/>
    <col min="10" max="10" width="7.17578125" bestFit="1" customWidth="1"/>
    <col min="11" max="11" width="11.5859375" bestFit="1" customWidth="1"/>
    <col min="12" max="12" width="9.29296875" bestFit="1" customWidth="1"/>
    <col min="13" max="13" width="14.29296875" bestFit="1" customWidth="1"/>
    <col min="14" max="14" width="7.87890625" bestFit="1" customWidth="1"/>
    <col min="15" max="15" width="7.29296875" bestFit="1" customWidth="1"/>
    <col min="18" max="18" width="8.9375" style="4"/>
    <col min="19" max="19" width="16.29296875" style="4" bestFit="1" customWidth="1"/>
    <col min="20" max="20" width="22.64453125" style="4" bestFit="1" customWidth="1"/>
  </cols>
  <sheetData>
    <row r="1" spans="1:15" ht="14.3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.35" customHeigh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ht="14.35" customHeight="1" x14ac:dyDescent="0.5">
      <c r="A3" s="3" t="s">
        <v>16</v>
      </c>
      <c r="B3" s="4">
        <v>51</v>
      </c>
      <c r="C3" s="4">
        <v>6</v>
      </c>
      <c r="D3" s="4">
        <v>39</v>
      </c>
      <c r="E3" s="4">
        <v>7</v>
      </c>
      <c r="F3" s="4">
        <v>103</v>
      </c>
      <c r="G3" s="4">
        <v>51</v>
      </c>
      <c r="H3" s="4">
        <v>49.514563106796118</v>
      </c>
      <c r="I3" s="5">
        <v>7.0225661193013295E-2</v>
      </c>
      <c r="J3" s="5">
        <v>0.47602360528821036</v>
      </c>
      <c r="K3" s="5">
        <v>7.1403540793231555</v>
      </c>
      <c r="L3" s="5">
        <v>5.4206970604366367</v>
      </c>
      <c r="M3" s="4" t="s">
        <v>17</v>
      </c>
      <c r="N3" s="4" t="str">
        <f>IF(K3&lt;0.05/15,"Yes","No")</f>
        <v>No</v>
      </c>
      <c r="O3" s="4" t="s">
        <v>17</v>
      </c>
    </row>
    <row r="4" spans="1:15" ht="14.35" customHeight="1" x14ac:dyDescent="0.5">
      <c r="A4" s="3" t="s">
        <v>18</v>
      </c>
      <c r="B4" s="4">
        <v>45</v>
      </c>
      <c r="C4" s="4">
        <v>12</v>
      </c>
      <c r="D4" s="4">
        <v>33</v>
      </c>
      <c r="E4" s="4">
        <v>13</v>
      </c>
      <c r="F4" s="4">
        <v>103</v>
      </c>
      <c r="G4" s="4">
        <v>45</v>
      </c>
      <c r="H4" s="4">
        <v>43.689320388349515</v>
      </c>
      <c r="I4" s="5">
        <v>8.3584963050963579E-2</v>
      </c>
      <c r="J4" s="5">
        <v>0.39627385376308505</v>
      </c>
      <c r="K4" s="5">
        <v>5.9441078064462758</v>
      </c>
      <c r="L4" s="5">
        <v>5.4206970604366367</v>
      </c>
      <c r="M4" s="4" t="s">
        <v>17</v>
      </c>
      <c r="N4" s="4" t="str">
        <f t="shared" ref="N4:N17" si="0">IF(K4&lt;0.05/15,"Yes","No")</f>
        <v>No</v>
      </c>
      <c r="O4" s="4" t="s">
        <v>17</v>
      </c>
    </row>
    <row r="5" spans="1:15" ht="14.35" customHeight="1" x14ac:dyDescent="0.5">
      <c r="A5" s="3" t="s">
        <v>19</v>
      </c>
      <c r="B5" s="4">
        <v>32</v>
      </c>
      <c r="C5" s="4">
        <v>25</v>
      </c>
      <c r="D5" s="4">
        <v>23</v>
      </c>
      <c r="E5" s="4">
        <v>23</v>
      </c>
      <c r="F5" s="4">
        <v>103</v>
      </c>
      <c r="G5" s="4">
        <v>32</v>
      </c>
      <c r="H5" s="4">
        <v>31.067961165048541</v>
      </c>
      <c r="I5" s="5">
        <v>6.1193820594028975E-2</v>
      </c>
      <c r="J5" s="5">
        <v>0.53456708780080286</v>
      </c>
      <c r="K5" s="5">
        <v>8.0185063170120436</v>
      </c>
      <c r="L5" s="5">
        <v>5.4206970604366367</v>
      </c>
      <c r="M5" s="4" t="s">
        <v>17</v>
      </c>
      <c r="N5" s="4" t="str">
        <f t="shared" si="0"/>
        <v>No</v>
      </c>
      <c r="O5" s="4" t="s">
        <v>17</v>
      </c>
    </row>
    <row r="6" spans="1:15" ht="14.35" customHeight="1" x14ac:dyDescent="0.5">
      <c r="A6" s="3" t="s">
        <v>20</v>
      </c>
      <c r="B6" s="4">
        <v>37</v>
      </c>
      <c r="C6" s="4">
        <v>20</v>
      </c>
      <c r="D6" s="4">
        <v>36</v>
      </c>
      <c r="E6" s="4">
        <v>10</v>
      </c>
      <c r="F6" s="4">
        <v>103</v>
      </c>
      <c r="G6" s="4">
        <v>37</v>
      </c>
      <c r="H6" s="4">
        <v>35.922330097087382</v>
      </c>
      <c r="I6" s="5">
        <v>-0.14605944405383484</v>
      </c>
      <c r="J6" s="5">
        <v>0.13824946189137927</v>
      </c>
      <c r="K6" s="5">
        <v>2.0737419283706888</v>
      </c>
      <c r="L6" s="5">
        <v>5.4206970604366367</v>
      </c>
      <c r="M6" s="4" t="s">
        <v>17</v>
      </c>
      <c r="N6" s="4" t="str">
        <f t="shared" si="0"/>
        <v>No</v>
      </c>
      <c r="O6" s="4" t="s">
        <v>17</v>
      </c>
    </row>
    <row r="7" spans="1:15" ht="14.35" customHeight="1" x14ac:dyDescent="0.5">
      <c r="A7" s="3" t="s">
        <v>21</v>
      </c>
      <c r="B7" s="4">
        <v>18</v>
      </c>
      <c r="C7" s="4">
        <v>39</v>
      </c>
      <c r="D7" s="4">
        <v>22</v>
      </c>
      <c r="E7" s="4">
        <v>24</v>
      </c>
      <c r="F7" s="4">
        <v>103</v>
      </c>
      <c r="G7" s="4">
        <v>18</v>
      </c>
      <c r="H7" s="4">
        <v>17.475728155339805</v>
      </c>
      <c r="I7" s="5">
        <v>-0.16572689171352772</v>
      </c>
      <c r="J7" s="5">
        <v>9.2579650324460111E-2</v>
      </c>
      <c r="K7" s="5">
        <v>1.3886947548669017</v>
      </c>
      <c r="L7" s="5">
        <v>5.4206970604366367</v>
      </c>
      <c r="M7" s="4" t="s">
        <v>17</v>
      </c>
      <c r="N7" s="4" t="str">
        <f t="shared" si="0"/>
        <v>No</v>
      </c>
      <c r="O7" s="4" t="s">
        <v>17</v>
      </c>
    </row>
    <row r="8" spans="1:15" ht="14.35" customHeight="1" x14ac:dyDescent="0.5">
      <c r="A8" s="3" t="s">
        <v>22</v>
      </c>
      <c r="B8" s="4">
        <v>70</v>
      </c>
      <c r="C8" s="4">
        <v>20</v>
      </c>
      <c r="D8" s="4">
        <v>8</v>
      </c>
      <c r="E8" s="4">
        <v>5</v>
      </c>
      <c r="F8" s="4">
        <v>103</v>
      </c>
      <c r="G8" s="4">
        <v>70</v>
      </c>
      <c r="H8" s="4">
        <v>67.961165048543691</v>
      </c>
      <c r="I8" s="5">
        <v>0.1257892026973349</v>
      </c>
      <c r="J8" s="5">
        <v>0.20173609190750225</v>
      </c>
      <c r="K8" s="5">
        <v>3.0260413786125335</v>
      </c>
      <c r="L8" s="5">
        <v>5.4206970604366367</v>
      </c>
      <c r="M8" s="4" t="s">
        <v>17</v>
      </c>
      <c r="N8" s="4" t="str">
        <f t="shared" si="0"/>
        <v>No</v>
      </c>
      <c r="O8" s="4" t="s">
        <v>17</v>
      </c>
    </row>
    <row r="9" spans="1:15" ht="14.35" customHeight="1" x14ac:dyDescent="0.5">
      <c r="A9" s="3" t="s">
        <v>23</v>
      </c>
      <c r="B9" s="4">
        <v>48</v>
      </c>
      <c r="C9" s="4">
        <v>42</v>
      </c>
      <c r="D9" s="4">
        <v>7</v>
      </c>
      <c r="E9" s="4">
        <v>6</v>
      </c>
      <c r="F9" s="4">
        <v>103</v>
      </c>
      <c r="G9" s="4">
        <v>48</v>
      </c>
      <c r="H9" s="4">
        <v>46.601941747572816</v>
      </c>
      <c r="I9" s="5">
        <v>-3.4139437099945944E-3</v>
      </c>
      <c r="J9" s="5">
        <v>0.97236062971145076</v>
      </c>
      <c r="K9" s="5">
        <v>14.585409445671761</v>
      </c>
      <c r="L9" s="5">
        <v>5.4206970604366367</v>
      </c>
      <c r="M9" s="4" t="s">
        <v>17</v>
      </c>
      <c r="N9" s="4" t="str">
        <f t="shared" si="0"/>
        <v>No</v>
      </c>
      <c r="O9" s="4" t="s">
        <v>17</v>
      </c>
    </row>
    <row r="10" spans="1:15" ht="14.35" customHeight="1" x14ac:dyDescent="0.5">
      <c r="A10" s="3" t="s">
        <v>24</v>
      </c>
      <c r="B10" s="4">
        <v>66</v>
      </c>
      <c r="C10" s="4">
        <v>24</v>
      </c>
      <c r="D10" s="4">
        <v>7</v>
      </c>
      <c r="E10" s="4">
        <v>6</v>
      </c>
      <c r="F10" s="4">
        <v>103</v>
      </c>
      <c r="G10" s="4">
        <v>66</v>
      </c>
      <c r="H10" s="4">
        <v>64.077669902912632</v>
      </c>
      <c r="I10" s="5">
        <v>0.14243602943006839</v>
      </c>
      <c r="J10" s="5">
        <v>0.14829845862762542</v>
      </c>
      <c r="K10" s="5">
        <v>2.2244768794143814</v>
      </c>
      <c r="L10" s="5">
        <v>5.4206970604366367</v>
      </c>
      <c r="M10" s="4" t="s">
        <v>17</v>
      </c>
      <c r="N10" s="4" t="str">
        <f t="shared" si="0"/>
        <v>No</v>
      </c>
      <c r="O10" s="4" t="s">
        <v>17</v>
      </c>
    </row>
    <row r="11" spans="1:15" ht="14.35" customHeight="1" x14ac:dyDescent="0.5">
      <c r="A11" s="3" t="s">
        <v>25</v>
      </c>
      <c r="B11" s="4">
        <v>33</v>
      </c>
      <c r="C11" s="4">
        <v>57</v>
      </c>
      <c r="D11" s="4">
        <v>7</v>
      </c>
      <c r="E11" s="4">
        <v>6</v>
      </c>
      <c r="F11" s="4">
        <v>103</v>
      </c>
      <c r="G11" s="4">
        <v>33</v>
      </c>
      <c r="H11" s="4">
        <v>32.038834951456316</v>
      </c>
      <c r="I11" s="5">
        <v>-0.11705847343394754</v>
      </c>
      <c r="J11" s="5">
        <v>0.23482799112008287</v>
      </c>
      <c r="K11" s="5">
        <v>3.522419866801243</v>
      </c>
      <c r="L11" s="5">
        <v>5.4206970604366367</v>
      </c>
      <c r="M11" s="4" t="s">
        <v>17</v>
      </c>
      <c r="N11" s="4" t="str">
        <f t="shared" si="0"/>
        <v>No</v>
      </c>
      <c r="O11" s="4" t="s">
        <v>17</v>
      </c>
    </row>
    <row r="12" spans="1:15" ht="14.35" customHeight="1" x14ac:dyDescent="0.5">
      <c r="A12" s="3" t="s">
        <v>26</v>
      </c>
      <c r="B12" s="4">
        <v>43</v>
      </c>
      <c r="C12" s="4">
        <v>35</v>
      </c>
      <c r="D12" s="4">
        <v>12</v>
      </c>
      <c r="E12" s="4">
        <v>13</v>
      </c>
      <c r="F12" s="4">
        <v>103</v>
      </c>
      <c r="G12" s="4">
        <v>43</v>
      </c>
      <c r="H12" s="4">
        <v>41.747572815533978</v>
      </c>
      <c r="I12" s="5">
        <v>6.1262615052803636E-2</v>
      </c>
      <c r="J12" s="5">
        <v>0.53410782240158972</v>
      </c>
      <c r="K12" s="5">
        <v>8.0116173360238463</v>
      </c>
      <c r="L12" s="5">
        <v>5.4206970604366367</v>
      </c>
      <c r="M12" s="4" t="s">
        <v>17</v>
      </c>
      <c r="N12" s="4" t="str">
        <f t="shared" si="0"/>
        <v>No</v>
      </c>
      <c r="O12" s="4" t="s">
        <v>17</v>
      </c>
    </row>
    <row r="13" spans="1:15" x14ac:dyDescent="0.5">
      <c r="A13" s="3" t="s">
        <v>27</v>
      </c>
      <c r="B13" s="4">
        <v>57</v>
      </c>
      <c r="C13" s="4">
        <v>21</v>
      </c>
      <c r="D13" s="4">
        <v>16</v>
      </c>
      <c r="E13" s="4">
        <v>9</v>
      </c>
      <c r="F13" s="4">
        <v>103</v>
      </c>
      <c r="G13" s="4">
        <v>57</v>
      </c>
      <c r="H13" s="4">
        <v>55.339805825242713</v>
      </c>
      <c r="I13" s="5">
        <v>8.565128900808236E-2</v>
      </c>
      <c r="J13" s="5">
        <v>0.38470184946931668</v>
      </c>
      <c r="K13" s="5">
        <v>5.7705277420397501</v>
      </c>
      <c r="L13" s="5">
        <v>5.4206970604366367</v>
      </c>
      <c r="M13" s="4" t="s">
        <v>17</v>
      </c>
      <c r="N13" s="4" t="str">
        <f>IF(K13&lt;0.05/15,"Yes","No")</f>
        <v>No</v>
      </c>
      <c r="O13" s="4" t="s">
        <v>17</v>
      </c>
    </row>
    <row r="14" spans="1:15" x14ac:dyDescent="0.5">
      <c r="A14" s="3" t="s">
        <v>28</v>
      </c>
      <c r="B14" s="4">
        <v>35</v>
      </c>
      <c r="C14" s="4">
        <v>43</v>
      </c>
      <c r="D14" s="4">
        <v>5</v>
      </c>
      <c r="E14" s="4">
        <v>20</v>
      </c>
      <c r="F14" s="4">
        <v>103</v>
      </c>
      <c r="G14" s="4">
        <v>35</v>
      </c>
      <c r="H14" s="4">
        <v>33.980582524271846</v>
      </c>
      <c r="I14" s="5">
        <v>0.2187883346258099</v>
      </c>
      <c r="J14" s="5">
        <v>2.638762017977413E-2</v>
      </c>
      <c r="K14" s="5">
        <v>0.39581430269661194</v>
      </c>
      <c r="L14" s="5">
        <v>5.4206970604366367</v>
      </c>
      <c r="M14" s="4" t="s">
        <v>29</v>
      </c>
      <c r="N14" s="4" t="str">
        <f t="shared" si="0"/>
        <v>No</v>
      </c>
      <c r="O14" s="4" t="s">
        <v>17</v>
      </c>
    </row>
    <row r="15" spans="1:15" x14ac:dyDescent="0.5">
      <c r="A15" s="3" t="s">
        <v>30</v>
      </c>
      <c r="B15" s="4">
        <v>46</v>
      </c>
      <c r="C15" s="4">
        <v>9</v>
      </c>
      <c r="D15" s="4">
        <v>27</v>
      </c>
      <c r="E15" s="4">
        <v>21</v>
      </c>
      <c r="F15" s="4">
        <v>103</v>
      </c>
      <c r="G15" s="4">
        <v>46</v>
      </c>
      <c r="H15" s="4">
        <v>44.660194174757287</v>
      </c>
      <c r="I15" s="5">
        <v>0.30068673992483469</v>
      </c>
      <c r="J15" s="5">
        <v>2.2759706941818674E-3</v>
      </c>
      <c r="K15" s="5">
        <v>3.4139560412728011E-2</v>
      </c>
      <c r="L15" s="5">
        <v>5.4206970604366367</v>
      </c>
      <c r="M15" s="4" t="s">
        <v>29</v>
      </c>
      <c r="N15" s="4" t="str">
        <f>IF(K15&lt;0.05/15,"Yes","No")</f>
        <v>No</v>
      </c>
      <c r="O15" s="4" t="s">
        <v>17</v>
      </c>
    </row>
    <row r="16" spans="1:15" x14ac:dyDescent="0.5">
      <c r="A16" s="3" t="s">
        <v>31</v>
      </c>
      <c r="B16" s="4">
        <v>23</v>
      </c>
      <c r="C16" s="4">
        <v>32</v>
      </c>
      <c r="D16" s="4">
        <v>17</v>
      </c>
      <c r="E16" s="4">
        <v>31</v>
      </c>
      <c r="F16" s="4">
        <v>103</v>
      </c>
      <c r="G16" s="4">
        <v>23</v>
      </c>
      <c r="H16" s="4">
        <v>22.330097087378643</v>
      </c>
      <c r="I16" s="5">
        <v>6.5521596482225664E-2</v>
      </c>
      <c r="J16" s="5">
        <v>0.50606867219485241</v>
      </c>
      <c r="K16" s="5">
        <v>7.5910300829227859</v>
      </c>
      <c r="L16" s="5">
        <v>5.4206970604366367</v>
      </c>
      <c r="M16" s="4" t="s">
        <v>17</v>
      </c>
      <c r="N16" s="4" t="str">
        <f t="shared" si="0"/>
        <v>No</v>
      </c>
      <c r="O16" s="4" t="s">
        <v>17</v>
      </c>
    </row>
    <row r="17" spans="1:15" x14ac:dyDescent="0.5">
      <c r="A17" s="3" t="s">
        <v>32</v>
      </c>
      <c r="B17" s="4">
        <v>29</v>
      </c>
      <c r="C17" s="4">
        <v>44</v>
      </c>
      <c r="D17" s="4">
        <v>11</v>
      </c>
      <c r="E17" s="4">
        <v>19</v>
      </c>
      <c r="F17" s="4">
        <v>103</v>
      </c>
      <c r="G17" s="4">
        <v>29</v>
      </c>
      <c r="H17" s="4">
        <v>28.155339805825243</v>
      </c>
      <c r="I17" s="5">
        <v>2.8520193969999493E-2</v>
      </c>
      <c r="J17" s="5">
        <v>0.77223829506232322</v>
      </c>
      <c r="K17" s="5">
        <v>11.583574425934849</v>
      </c>
      <c r="L17" s="5">
        <v>5.4206970604366367</v>
      </c>
      <c r="M17" s="4" t="s">
        <v>17</v>
      </c>
      <c r="N17" s="4" t="str">
        <f t="shared" si="0"/>
        <v>No</v>
      </c>
      <c r="O17" s="4" t="s">
        <v>17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Alsubaie</dc:creator>
  <cp:lastModifiedBy>Sarah Alsubaie</cp:lastModifiedBy>
  <dcterms:created xsi:type="dcterms:W3CDTF">2025-11-23T11:56:24Z</dcterms:created>
  <dcterms:modified xsi:type="dcterms:W3CDTF">2025-11-23T11:56:38Z</dcterms:modified>
</cp:coreProperties>
</file>