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lsubasf\Desktop\Dec.103\"/>
    </mc:Choice>
  </mc:AlternateContent>
  <xr:revisionPtr revIDLastSave="0" documentId="8_{F8D068D4-7C19-4CB2-B45C-4CA6D01C1730}" xr6:coauthVersionLast="47" xr6:coauthVersionMax="47" xr10:uidLastSave="{00000000-0000-0000-0000-000000000000}"/>
  <bookViews>
    <workbookView xWindow="-93" yWindow="-93" windowWidth="25786" windowHeight="13866" xr2:uid="{44E18B80-B893-4520-AD75-9FA33B4D890F}"/>
  </bookViews>
  <sheets>
    <sheet name="Table_S.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5" i="1" l="1"/>
  <c r="AG104" i="1"/>
  <c r="AE104" i="1"/>
  <c r="AC104" i="1"/>
  <c r="AA104" i="1"/>
  <c r="W104" i="1"/>
  <c r="R104" i="1" a="1"/>
  <c r="R104" i="1" s="1"/>
  <c r="AI104" i="1" s="1"/>
  <c r="AG103" i="1"/>
  <c r="AE103" i="1"/>
  <c r="AC103" i="1"/>
  <c r="AA103" i="1"/>
  <c r="W103" i="1"/>
  <c r="R103" i="1" a="1"/>
  <c r="R103" i="1" s="1"/>
  <c r="AI103" i="1" s="1"/>
  <c r="AG102" i="1"/>
  <c r="AE102" i="1"/>
  <c r="AC102" i="1"/>
  <c r="AA102" i="1"/>
  <c r="W102" i="1"/>
  <c r="R102" i="1" a="1"/>
  <c r="R102" i="1" s="1"/>
  <c r="AI102" i="1" s="1"/>
  <c r="AG101" i="1"/>
  <c r="AE101" i="1"/>
  <c r="AC101" i="1"/>
  <c r="AA101" i="1"/>
  <c r="W101" i="1"/>
  <c r="R101" i="1" a="1"/>
  <c r="R101" i="1" s="1"/>
  <c r="AI101" i="1" s="1"/>
  <c r="AG100" i="1"/>
  <c r="AE100" i="1"/>
  <c r="AC100" i="1"/>
  <c r="AA100" i="1"/>
  <c r="W100" i="1"/>
  <c r="R100" i="1" a="1"/>
  <c r="R100" i="1" s="1"/>
  <c r="AI100" i="1" s="1"/>
  <c r="AG99" i="1"/>
  <c r="AE99" i="1"/>
  <c r="AC99" i="1"/>
  <c r="AA99" i="1"/>
  <c r="W99" i="1"/>
  <c r="R99" i="1" a="1"/>
  <c r="R99" i="1" s="1"/>
  <c r="AI99" i="1" s="1"/>
  <c r="AG98" i="1"/>
  <c r="AE98" i="1"/>
  <c r="AC98" i="1"/>
  <c r="AA98" i="1"/>
  <c r="W98" i="1"/>
  <c r="R98" i="1" a="1"/>
  <c r="R98" i="1" s="1"/>
  <c r="AI98" i="1" s="1"/>
  <c r="AG97" i="1"/>
  <c r="AE97" i="1"/>
  <c r="AC97" i="1"/>
  <c r="AA97" i="1"/>
  <c r="W97" i="1"/>
  <c r="R97" i="1" a="1"/>
  <c r="R97" i="1" s="1"/>
  <c r="AI97" i="1" s="1"/>
  <c r="AG96" i="1"/>
  <c r="AE96" i="1"/>
  <c r="AC96" i="1"/>
  <c r="AA96" i="1"/>
  <c r="W96" i="1"/>
  <c r="R96" i="1" a="1"/>
  <c r="R96" i="1" s="1"/>
  <c r="AI96" i="1" s="1"/>
  <c r="AG95" i="1"/>
  <c r="AE95" i="1"/>
  <c r="AC95" i="1"/>
  <c r="AA95" i="1"/>
  <c r="W95" i="1"/>
  <c r="R95" i="1" a="1"/>
  <c r="R95" i="1" s="1"/>
  <c r="AI95" i="1" s="1"/>
  <c r="AG94" i="1"/>
  <c r="AE94" i="1"/>
  <c r="AC94" i="1"/>
  <c r="AA94" i="1"/>
  <c r="W94" i="1"/>
  <c r="R94" i="1" a="1"/>
  <c r="R94" i="1" s="1"/>
  <c r="AI94" i="1" s="1"/>
  <c r="AG93" i="1"/>
  <c r="AE93" i="1"/>
  <c r="AC93" i="1"/>
  <c r="AA93" i="1"/>
  <c r="W93" i="1"/>
  <c r="R93" i="1" a="1"/>
  <c r="R93" i="1" s="1"/>
  <c r="AI93" i="1" s="1"/>
  <c r="AG92" i="1"/>
  <c r="AE92" i="1"/>
  <c r="AC92" i="1"/>
  <c r="AA92" i="1"/>
  <c r="W92" i="1"/>
  <c r="R92" i="1" a="1"/>
  <c r="R92" i="1" s="1"/>
  <c r="AI92" i="1" s="1"/>
  <c r="AG91" i="1"/>
  <c r="AE91" i="1"/>
  <c r="AC91" i="1"/>
  <c r="AA91" i="1"/>
  <c r="W91" i="1"/>
  <c r="R91" i="1" a="1"/>
  <c r="R91" i="1" s="1"/>
  <c r="AI91" i="1" s="1"/>
  <c r="AG90" i="1"/>
  <c r="AE90" i="1"/>
  <c r="AC90" i="1"/>
  <c r="AA90" i="1"/>
  <c r="W90" i="1"/>
  <c r="R90" i="1" a="1"/>
  <c r="R90" i="1" s="1"/>
  <c r="AI90" i="1" s="1"/>
  <c r="AG89" i="1"/>
  <c r="AE89" i="1"/>
  <c r="AC89" i="1"/>
  <c r="AA89" i="1"/>
  <c r="W89" i="1"/>
  <c r="R89" i="1" a="1"/>
  <c r="R89" i="1" s="1"/>
  <c r="AI89" i="1" s="1"/>
  <c r="AG88" i="1"/>
  <c r="AE88" i="1"/>
  <c r="AC88" i="1"/>
  <c r="AA88" i="1"/>
  <c r="W88" i="1"/>
  <c r="R88" i="1" a="1"/>
  <c r="R88" i="1" s="1"/>
  <c r="AI88" i="1" s="1"/>
  <c r="AG87" i="1"/>
  <c r="AE87" i="1"/>
  <c r="AC87" i="1"/>
  <c r="AA87" i="1"/>
  <c r="W87" i="1"/>
  <c r="R87" i="1" a="1"/>
  <c r="R87" i="1" s="1"/>
  <c r="AI87" i="1" s="1"/>
  <c r="AG86" i="1"/>
  <c r="AE86" i="1"/>
  <c r="AC86" i="1"/>
  <c r="AA86" i="1"/>
  <c r="W86" i="1"/>
  <c r="R86" i="1" a="1"/>
  <c r="R86" i="1" s="1"/>
  <c r="AI86" i="1" s="1"/>
  <c r="AG85" i="1"/>
  <c r="AE85" i="1"/>
  <c r="AC85" i="1"/>
  <c r="AA85" i="1"/>
  <c r="W85" i="1"/>
  <c r="R85" i="1" a="1"/>
  <c r="R85" i="1" s="1"/>
  <c r="AI85" i="1" s="1"/>
  <c r="AG84" i="1"/>
  <c r="AE84" i="1"/>
  <c r="AC84" i="1"/>
  <c r="AA84" i="1"/>
  <c r="W84" i="1"/>
  <c r="R84" i="1" a="1"/>
  <c r="R84" i="1" s="1"/>
  <c r="AI84" i="1" s="1"/>
  <c r="AG83" i="1"/>
  <c r="AE83" i="1"/>
  <c r="AC83" i="1"/>
  <c r="AA83" i="1"/>
  <c r="W83" i="1"/>
  <c r="R83" i="1" a="1"/>
  <c r="R83" i="1" s="1"/>
  <c r="AI83" i="1" s="1"/>
  <c r="AG82" i="1"/>
  <c r="AE82" i="1"/>
  <c r="AC82" i="1"/>
  <c r="AA82" i="1"/>
  <c r="W82" i="1"/>
  <c r="R82" i="1" a="1"/>
  <c r="R82" i="1" s="1"/>
  <c r="AI82" i="1" s="1"/>
  <c r="AG81" i="1"/>
  <c r="AE81" i="1"/>
  <c r="AC81" i="1"/>
  <c r="AA81" i="1"/>
  <c r="W81" i="1"/>
  <c r="R81" i="1" a="1"/>
  <c r="R81" i="1" s="1"/>
  <c r="AI81" i="1" s="1"/>
  <c r="AG80" i="1"/>
  <c r="AE80" i="1"/>
  <c r="AC80" i="1"/>
  <c r="AA80" i="1"/>
  <c r="W80" i="1"/>
  <c r="R80" i="1" a="1"/>
  <c r="R80" i="1" s="1"/>
  <c r="AI80" i="1" s="1"/>
  <c r="AG79" i="1"/>
  <c r="AE79" i="1"/>
  <c r="AC79" i="1"/>
  <c r="AA79" i="1"/>
  <c r="W79" i="1"/>
  <c r="R79" i="1" a="1"/>
  <c r="R79" i="1" s="1"/>
  <c r="AI79" i="1" s="1"/>
  <c r="AG78" i="1"/>
  <c r="AE78" i="1"/>
  <c r="AC78" i="1"/>
  <c r="AA78" i="1"/>
  <c r="W78" i="1"/>
  <c r="R78" i="1" a="1"/>
  <c r="R78" i="1" s="1"/>
  <c r="AI78" i="1" s="1"/>
  <c r="AG77" i="1"/>
  <c r="AE77" i="1"/>
  <c r="AC77" i="1"/>
  <c r="AA77" i="1"/>
  <c r="W77" i="1"/>
  <c r="R77" i="1" a="1"/>
  <c r="R77" i="1" s="1"/>
  <c r="AI77" i="1" s="1"/>
  <c r="AG76" i="1"/>
  <c r="AE76" i="1"/>
  <c r="AC76" i="1"/>
  <c r="AA76" i="1"/>
  <c r="W76" i="1"/>
  <c r="R76" i="1" a="1"/>
  <c r="R76" i="1" s="1"/>
  <c r="AI76" i="1" s="1"/>
  <c r="AG75" i="1"/>
  <c r="AE75" i="1"/>
  <c r="AC75" i="1"/>
  <c r="AA75" i="1"/>
  <c r="W75" i="1"/>
  <c r="R75" i="1" a="1"/>
  <c r="R75" i="1" s="1"/>
  <c r="AI75" i="1" s="1"/>
  <c r="AG74" i="1"/>
  <c r="AE74" i="1"/>
  <c r="AC74" i="1"/>
  <c r="AA74" i="1"/>
  <c r="W74" i="1"/>
  <c r="R74" i="1" a="1"/>
  <c r="R74" i="1" s="1"/>
  <c r="AI74" i="1" s="1"/>
  <c r="AG73" i="1"/>
  <c r="AE73" i="1"/>
  <c r="AC73" i="1"/>
  <c r="AA73" i="1"/>
  <c r="W73" i="1"/>
  <c r="R73" i="1" a="1"/>
  <c r="R73" i="1" s="1"/>
  <c r="AI73" i="1" s="1"/>
  <c r="AG72" i="1"/>
  <c r="AE72" i="1"/>
  <c r="AC72" i="1"/>
  <c r="AA72" i="1"/>
  <c r="W72" i="1"/>
  <c r="R72" i="1" a="1"/>
  <c r="R72" i="1" s="1"/>
  <c r="AI72" i="1" s="1"/>
  <c r="AG71" i="1"/>
  <c r="AE71" i="1"/>
  <c r="AC71" i="1"/>
  <c r="AA71" i="1"/>
  <c r="W71" i="1"/>
  <c r="R71" i="1" a="1"/>
  <c r="R71" i="1" s="1"/>
  <c r="AI71" i="1" s="1"/>
  <c r="AG70" i="1"/>
  <c r="AE70" i="1"/>
  <c r="AC70" i="1"/>
  <c r="AA70" i="1"/>
  <c r="W70" i="1"/>
  <c r="R70" i="1" a="1"/>
  <c r="R70" i="1" s="1"/>
  <c r="AI70" i="1" s="1"/>
  <c r="AG69" i="1"/>
  <c r="AE69" i="1"/>
  <c r="AC69" i="1"/>
  <c r="AA69" i="1"/>
  <c r="W69" i="1"/>
  <c r="R69" i="1" a="1"/>
  <c r="R69" i="1" s="1"/>
  <c r="AI69" i="1" s="1"/>
  <c r="AG68" i="1"/>
  <c r="AE68" i="1"/>
  <c r="AC68" i="1"/>
  <c r="AA68" i="1"/>
  <c r="W68" i="1"/>
  <c r="R68" i="1" a="1"/>
  <c r="R68" i="1" s="1"/>
  <c r="AI68" i="1" s="1"/>
  <c r="AG67" i="1"/>
  <c r="AE67" i="1"/>
  <c r="AC67" i="1"/>
  <c r="AA67" i="1"/>
  <c r="W67" i="1"/>
  <c r="R67" i="1" a="1"/>
  <c r="R67" i="1" s="1"/>
  <c r="AI67" i="1" s="1"/>
  <c r="AG66" i="1"/>
  <c r="AE66" i="1"/>
  <c r="AC66" i="1"/>
  <c r="AA66" i="1"/>
  <c r="W66" i="1"/>
  <c r="R66" i="1" a="1"/>
  <c r="R66" i="1" s="1"/>
  <c r="AI66" i="1" s="1"/>
  <c r="AG65" i="1"/>
  <c r="AE65" i="1"/>
  <c r="AC65" i="1"/>
  <c r="AA65" i="1"/>
  <c r="W65" i="1"/>
  <c r="R65" i="1" a="1"/>
  <c r="R65" i="1" s="1"/>
  <c r="AI65" i="1" s="1"/>
  <c r="AG64" i="1"/>
  <c r="AE64" i="1"/>
  <c r="AC64" i="1"/>
  <c r="AA64" i="1"/>
  <c r="W64" i="1"/>
  <c r="R64" i="1" a="1"/>
  <c r="R64" i="1" s="1"/>
  <c r="AI64" i="1" s="1"/>
  <c r="AG63" i="1"/>
  <c r="AE63" i="1"/>
  <c r="AC63" i="1"/>
  <c r="AA63" i="1"/>
  <c r="W63" i="1"/>
  <c r="R63" i="1" a="1"/>
  <c r="R63" i="1" s="1"/>
  <c r="AI63" i="1" s="1"/>
  <c r="AG62" i="1"/>
  <c r="AE62" i="1"/>
  <c r="AC62" i="1"/>
  <c r="AA62" i="1"/>
  <c r="W62" i="1"/>
  <c r="R62" i="1" a="1"/>
  <c r="R62" i="1" s="1"/>
  <c r="AI62" i="1" s="1"/>
  <c r="AG61" i="1"/>
  <c r="AE61" i="1"/>
  <c r="AC61" i="1"/>
  <c r="AA61" i="1"/>
  <c r="W61" i="1"/>
  <c r="R61" i="1" a="1"/>
  <c r="R61" i="1" s="1"/>
  <c r="AI61" i="1" s="1"/>
  <c r="AG60" i="1"/>
  <c r="AE60" i="1"/>
  <c r="AC60" i="1"/>
  <c r="AA60" i="1"/>
  <c r="W60" i="1"/>
  <c r="R60" i="1" a="1"/>
  <c r="R60" i="1" s="1"/>
  <c r="AI60" i="1" s="1"/>
  <c r="AG59" i="1"/>
  <c r="AE59" i="1"/>
  <c r="AC59" i="1"/>
  <c r="AA59" i="1"/>
  <c r="W59" i="1"/>
  <c r="R59" i="1" a="1"/>
  <c r="R59" i="1" s="1"/>
  <c r="AI59" i="1" s="1"/>
  <c r="AG58" i="1"/>
  <c r="AE58" i="1"/>
  <c r="AC58" i="1"/>
  <c r="AA58" i="1"/>
  <c r="W58" i="1"/>
  <c r="R58" i="1" a="1"/>
  <c r="R58" i="1" s="1"/>
  <c r="AI58" i="1" s="1"/>
  <c r="AG57" i="1"/>
  <c r="AE57" i="1"/>
  <c r="AC57" i="1"/>
  <c r="AA57" i="1"/>
  <c r="W57" i="1"/>
  <c r="R57" i="1" a="1"/>
  <c r="R57" i="1" s="1"/>
  <c r="AI57" i="1" s="1"/>
  <c r="AG56" i="1"/>
  <c r="AE56" i="1"/>
  <c r="AC56" i="1"/>
  <c r="AA56" i="1"/>
  <c r="W56" i="1"/>
  <c r="R56" i="1" a="1"/>
  <c r="R56" i="1" s="1"/>
  <c r="AI56" i="1" s="1"/>
  <c r="AG55" i="1"/>
  <c r="AE55" i="1"/>
  <c r="AC55" i="1"/>
  <c r="AA55" i="1"/>
  <c r="W55" i="1"/>
  <c r="R55" i="1" a="1"/>
  <c r="R55" i="1" s="1"/>
  <c r="AI55" i="1" s="1"/>
  <c r="AG54" i="1"/>
  <c r="AE54" i="1"/>
  <c r="AC54" i="1"/>
  <c r="AA54" i="1"/>
  <c r="W54" i="1"/>
  <c r="R54" i="1" a="1"/>
  <c r="R54" i="1" s="1"/>
  <c r="AI54" i="1" s="1"/>
  <c r="AG53" i="1"/>
  <c r="AE53" i="1"/>
  <c r="AC53" i="1"/>
  <c r="AA53" i="1"/>
  <c r="W53" i="1"/>
  <c r="R53" i="1" a="1"/>
  <c r="R53" i="1" s="1"/>
  <c r="AI53" i="1" s="1"/>
  <c r="AG52" i="1"/>
  <c r="AE52" i="1"/>
  <c r="AC52" i="1"/>
  <c r="AA52" i="1"/>
  <c r="W52" i="1"/>
  <c r="R52" i="1" a="1"/>
  <c r="R52" i="1" s="1"/>
  <c r="AI52" i="1" s="1"/>
  <c r="AG51" i="1"/>
  <c r="AE51" i="1"/>
  <c r="AC51" i="1"/>
  <c r="AA51" i="1"/>
  <c r="W51" i="1"/>
  <c r="R51" i="1" a="1"/>
  <c r="R51" i="1" s="1"/>
  <c r="AI51" i="1" s="1"/>
  <c r="AG50" i="1"/>
  <c r="AE50" i="1"/>
  <c r="AC50" i="1"/>
  <c r="AA50" i="1"/>
  <c r="W50" i="1"/>
  <c r="R50" i="1" a="1"/>
  <c r="R50" i="1" s="1"/>
  <c r="AI50" i="1" s="1"/>
  <c r="AG49" i="1"/>
  <c r="AE49" i="1"/>
  <c r="AC49" i="1"/>
  <c r="AA49" i="1"/>
  <c r="W49" i="1"/>
  <c r="R49" i="1" a="1"/>
  <c r="R49" i="1" s="1"/>
  <c r="AI49" i="1" s="1"/>
  <c r="AG48" i="1"/>
  <c r="AE48" i="1"/>
  <c r="AC48" i="1"/>
  <c r="AA48" i="1"/>
  <c r="W48" i="1"/>
  <c r="R48" i="1" a="1"/>
  <c r="R48" i="1" s="1"/>
  <c r="AI48" i="1" s="1"/>
  <c r="AG47" i="1"/>
  <c r="AE47" i="1"/>
  <c r="AC47" i="1"/>
  <c r="AA47" i="1"/>
  <c r="W47" i="1"/>
  <c r="R47" i="1" a="1"/>
  <c r="R47" i="1" s="1"/>
  <c r="AI47" i="1" s="1"/>
  <c r="AG46" i="1"/>
  <c r="AE46" i="1"/>
  <c r="AC46" i="1"/>
  <c r="AA46" i="1"/>
  <c r="W46" i="1"/>
  <c r="R46" i="1" a="1"/>
  <c r="R46" i="1" s="1"/>
  <c r="AI46" i="1" s="1"/>
  <c r="AG45" i="1"/>
  <c r="AE45" i="1"/>
  <c r="AC45" i="1"/>
  <c r="AA45" i="1"/>
  <c r="W45" i="1"/>
  <c r="R45" i="1" a="1"/>
  <c r="R45" i="1" s="1"/>
  <c r="AI45" i="1" s="1"/>
  <c r="AG44" i="1"/>
  <c r="AE44" i="1"/>
  <c r="AC44" i="1"/>
  <c r="AA44" i="1"/>
  <c r="W44" i="1"/>
  <c r="R44" i="1" a="1"/>
  <c r="R44" i="1" s="1"/>
  <c r="AI44" i="1" s="1"/>
  <c r="AG43" i="1"/>
  <c r="AE43" i="1"/>
  <c r="AC43" i="1"/>
  <c r="AA43" i="1"/>
  <c r="W43" i="1"/>
  <c r="R43" i="1" a="1"/>
  <c r="R43" i="1" s="1"/>
  <c r="AI43" i="1" s="1"/>
  <c r="AG42" i="1"/>
  <c r="AE42" i="1"/>
  <c r="AC42" i="1"/>
  <c r="AA42" i="1"/>
  <c r="W42" i="1"/>
  <c r="R42" i="1" a="1"/>
  <c r="R42" i="1" s="1"/>
  <c r="AI42" i="1" s="1"/>
  <c r="AG41" i="1"/>
  <c r="AE41" i="1"/>
  <c r="AC41" i="1"/>
  <c r="AA41" i="1"/>
  <c r="W41" i="1"/>
  <c r="R41" i="1" a="1"/>
  <c r="R41" i="1" s="1"/>
  <c r="AI41" i="1" s="1"/>
  <c r="AG40" i="1"/>
  <c r="AE40" i="1"/>
  <c r="AC40" i="1"/>
  <c r="AA40" i="1"/>
  <c r="W40" i="1"/>
  <c r="R40" i="1" a="1"/>
  <c r="R40" i="1" s="1"/>
  <c r="AI40" i="1" s="1"/>
  <c r="AG39" i="1"/>
  <c r="AE39" i="1"/>
  <c r="AC39" i="1"/>
  <c r="AA39" i="1"/>
  <c r="W39" i="1"/>
  <c r="R39" i="1" a="1"/>
  <c r="R39" i="1" s="1"/>
  <c r="AI39" i="1" s="1"/>
  <c r="AG38" i="1"/>
  <c r="AE38" i="1"/>
  <c r="AC38" i="1"/>
  <c r="AA38" i="1"/>
  <c r="W38" i="1"/>
  <c r="R38" i="1" a="1"/>
  <c r="R38" i="1" s="1"/>
  <c r="AI38" i="1" s="1"/>
  <c r="AG37" i="1"/>
  <c r="AE37" i="1"/>
  <c r="AC37" i="1"/>
  <c r="AA37" i="1"/>
  <c r="W37" i="1"/>
  <c r="R37" i="1" a="1"/>
  <c r="R37" i="1" s="1"/>
  <c r="AI37" i="1" s="1"/>
  <c r="AG36" i="1"/>
  <c r="AE36" i="1"/>
  <c r="AC36" i="1"/>
  <c r="AA36" i="1"/>
  <c r="W36" i="1"/>
  <c r="R36" i="1" a="1"/>
  <c r="R36" i="1" s="1"/>
  <c r="AI36" i="1" s="1"/>
  <c r="AG35" i="1"/>
  <c r="AE35" i="1"/>
  <c r="AC35" i="1"/>
  <c r="AA35" i="1"/>
  <c r="W35" i="1"/>
  <c r="R35" i="1" a="1"/>
  <c r="R35" i="1" s="1"/>
  <c r="AI35" i="1" s="1"/>
  <c r="AG34" i="1"/>
  <c r="AE34" i="1"/>
  <c r="AC34" i="1"/>
  <c r="AA34" i="1"/>
  <c r="W34" i="1"/>
  <c r="R34" i="1" a="1"/>
  <c r="R34" i="1" s="1"/>
  <c r="AI34" i="1" s="1"/>
  <c r="AG33" i="1"/>
  <c r="AE33" i="1"/>
  <c r="AC33" i="1"/>
  <c r="AA33" i="1"/>
  <c r="W33" i="1"/>
  <c r="R33" i="1" a="1"/>
  <c r="R33" i="1" s="1"/>
  <c r="AI33" i="1" s="1"/>
  <c r="AG32" i="1"/>
  <c r="AE32" i="1"/>
  <c r="AC32" i="1"/>
  <c r="AA32" i="1"/>
  <c r="W32" i="1"/>
  <c r="R32" i="1" a="1"/>
  <c r="R32" i="1" s="1"/>
  <c r="AI32" i="1" s="1"/>
  <c r="AG31" i="1"/>
  <c r="AE31" i="1"/>
  <c r="AC31" i="1"/>
  <c r="AA31" i="1"/>
  <c r="W31" i="1"/>
  <c r="R31" i="1" a="1"/>
  <c r="R31" i="1" s="1"/>
  <c r="AI31" i="1" s="1"/>
  <c r="AG30" i="1"/>
  <c r="AE30" i="1"/>
  <c r="AC30" i="1"/>
  <c r="AA30" i="1"/>
  <c r="W30" i="1"/>
  <c r="R30" i="1" a="1"/>
  <c r="R30" i="1" s="1"/>
  <c r="AI30" i="1" s="1"/>
  <c r="AG29" i="1"/>
  <c r="AE29" i="1"/>
  <c r="AC29" i="1"/>
  <c r="AA29" i="1"/>
  <c r="W29" i="1"/>
  <c r="R29" i="1" a="1"/>
  <c r="R29" i="1" s="1"/>
  <c r="AI29" i="1" s="1"/>
  <c r="AG28" i="1"/>
  <c r="AE28" i="1"/>
  <c r="AC28" i="1"/>
  <c r="AA28" i="1"/>
  <c r="W28" i="1"/>
  <c r="R28" i="1" a="1"/>
  <c r="R28" i="1" s="1"/>
  <c r="AI28" i="1" s="1"/>
  <c r="AG27" i="1"/>
  <c r="AE27" i="1"/>
  <c r="AC27" i="1"/>
  <c r="AA27" i="1"/>
  <c r="W27" i="1"/>
  <c r="R27" i="1" a="1"/>
  <c r="R27" i="1" s="1"/>
  <c r="AI27" i="1" s="1"/>
  <c r="AG26" i="1"/>
  <c r="AE26" i="1"/>
  <c r="AC26" i="1"/>
  <c r="AA26" i="1"/>
  <c r="W26" i="1"/>
  <c r="R26" i="1" a="1"/>
  <c r="R26" i="1" s="1"/>
  <c r="AI26" i="1" s="1"/>
  <c r="AG25" i="1"/>
  <c r="AE25" i="1"/>
  <c r="AC25" i="1"/>
  <c r="AA25" i="1"/>
  <c r="W25" i="1"/>
  <c r="R25" i="1" a="1"/>
  <c r="R25" i="1" s="1"/>
  <c r="AI25" i="1" s="1"/>
  <c r="AG24" i="1"/>
  <c r="AE24" i="1"/>
  <c r="AC24" i="1"/>
  <c r="AA24" i="1"/>
  <c r="W24" i="1"/>
  <c r="R24" i="1" a="1"/>
  <c r="R24" i="1" s="1"/>
  <c r="AI24" i="1" s="1"/>
  <c r="AG23" i="1"/>
  <c r="AE23" i="1"/>
  <c r="AC23" i="1"/>
  <c r="AA23" i="1"/>
  <c r="W23" i="1"/>
  <c r="R23" i="1" a="1"/>
  <c r="R23" i="1" s="1"/>
  <c r="AI23" i="1" s="1"/>
  <c r="AG22" i="1"/>
  <c r="AE22" i="1"/>
  <c r="AC22" i="1"/>
  <c r="AA22" i="1"/>
  <c r="W22" i="1"/>
  <c r="R22" i="1" a="1"/>
  <c r="R22" i="1" s="1"/>
  <c r="AI22" i="1" s="1"/>
  <c r="AG21" i="1"/>
  <c r="AE21" i="1"/>
  <c r="AC21" i="1"/>
  <c r="AA21" i="1"/>
  <c r="W21" i="1"/>
  <c r="R21" i="1" a="1"/>
  <c r="R21" i="1" s="1"/>
  <c r="AI21" i="1" s="1"/>
  <c r="AG20" i="1"/>
  <c r="AE20" i="1"/>
  <c r="AC20" i="1"/>
  <c r="AA20" i="1"/>
  <c r="W20" i="1"/>
  <c r="R20" i="1" a="1"/>
  <c r="R20" i="1" s="1"/>
  <c r="AI20" i="1" s="1"/>
  <c r="AG19" i="1"/>
  <c r="AE19" i="1"/>
  <c r="AC19" i="1"/>
  <c r="AA19" i="1"/>
  <c r="W19" i="1"/>
  <c r="R19" i="1" a="1"/>
  <c r="R19" i="1" s="1"/>
  <c r="AI19" i="1" s="1"/>
  <c r="AG18" i="1"/>
  <c r="AE18" i="1"/>
  <c r="AC18" i="1"/>
  <c r="AA18" i="1"/>
  <c r="W18" i="1"/>
  <c r="R18" i="1" a="1"/>
  <c r="R18" i="1" s="1"/>
  <c r="AI18" i="1" s="1"/>
  <c r="AG17" i="1"/>
  <c r="AE17" i="1"/>
  <c r="AC17" i="1"/>
  <c r="AA17" i="1"/>
  <c r="W17" i="1"/>
  <c r="R17" i="1" a="1"/>
  <c r="R17" i="1" s="1"/>
  <c r="AI17" i="1" s="1"/>
  <c r="AG16" i="1"/>
  <c r="AE16" i="1"/>
  <c r="AC16" i="1"/>
  <c r="AA16" i="1"/>
  <c r="W16" i="1"/>
  <c r="R16" i="1" a="1"/>
  <c r="R16" i="1" s="1"/>
  <c r="AI16" i="1" s="1"/>
  <c r="AG15" i="1"/>
  <c r="AE15" i="1"/>
  <c r="AC15" i="1"/>
  <c r="AA15" i="1"/>
  <c r="W15" i="1"/>
  <c r="R15" i="1" a="1"/>
  <c r="R15" i="1" s="1"/>
  <c r="AI15" i="1" s="1"/>
  <c r="AG14" i="1"/>
  <c r="AE14" i="1"/>
  <c r="AC14" i="1"/>
  <c r="AA14" i="1"/>
  <c r="W14" i="1"/>
  <c r="R14" i="1" a="1"/>
  <c r="R14" i="1" s="1"/>
  <c r="AI14" i="1" s="1"/>
  <c r="AG13" i="1"/>
  <c r="AE13" i="1"/>
  <c r="AC13" i="1"/>
  <c r="AA13" i="1"/>
  <c r="W13" i="1"/>
  <c r="R13" i="1" a="1"/>
  <c r="R13" i="1" s="1"/>
  <c r="AI13" i="1" s="1"/>
  <c r="AG12" i="1"/>
  <c r="AE12" i="1"/>
  <c r="AC12" i="1"/>
  <c r="AA12" i="1"/>
  <c r="W12" i="1"/>
  <c r="R12" i="1" a="1"/>
  <c r="R12" i="1" s="1"/>
  <c r="AI12" i="1" s="1"/>
  <c r="AG11" i="1"/>
  <c r="AE11" i="1"/>
  <c r="AC11" i="1"/>
  <c r="AA11" i="1"/>
  <c r="W11" i="1"/>
  <c r="R11" i="1" a="1"/>
  <c r="R11" i="1" s="1"/>
  <c r="AI11" i="1" s="1"/>
  <c r="AG10" i="1"/>
  <c r="AE10" i="1"/>
  <c r="AC10" i="1"/>
  <c r="AA10" i="1"/>
  <c r="W10" i="1"/>
  <c r="R10" i="1" a="1"/>
  <c r="R10" i="1" s="1"/>
  <c r="AI10" i="1" s="1"/>
  <c r="AG9" i="1"/>
  <c r="AE9" i="1"/>
  <c r="AC9" i="1"/>
  <c r="AA9" i="1"/>
  <c r="W9" i="1"/>
  <c r="R9" i="1" a="1"/>
  <c r="R9" i="1" s="1"/>
  <c r="AI9" i="1" s="1"/>
  <c r="AG8" i="1"/>
  <c r="AE8" i="1"/>
  <c r="AC8" i="1"/>
  <c r="AA8" i="1"/>
  <c r="W8" i="1"/>
  <c r="R8" i="1" a="1"/>
  <c r="R8" i="1" s="1"/>
  <c r="AI8" i="1" s="1"/>
  <c r="AG7" i="1"/>
  <c r="AE7" i="1"/>
  <c r="AC7" i="1"/>
  <c r="AA7" i="1"/>
  <c r="W7" i="1"/>
  <c r="R7" i="1" a="1"/>
  <c r="R7" i="1" s="1"/>
  <c r="AI7" i="1" s="1"/>
  <c r="AG6" i="1"/>
  <c r="AE6" i="1"/>
  <c r="AC6" i="1"/>
  <c r="AA6" i="1"/>
  <c r="W6" i="1"/>
  <c r="R6" i="1" a="1"/>
  <c r="R6" i="1" s="1"/>
  <c r="AI6" i="1" s="1"/>
  <c r="AG5" i="1"/>
  <c r="AE5" i="1"/>
  <c r="AC5" i="1"/>
  <c r="AA5" i="1"/>
  <c r="W5" i="1"/>
  <c r="R5" i="1" a="1"/>
  <c r="R5" i="1" s="1"/>
  <c r="AI5" i="1" s="1"/>
  <c r="AG4" i="1"/>
  <c r="AE4" i="1"/>
  <c r="AC4" i="1"/>
  <c r="AA4" i="1"/>
  <c r="W4" i="1"/>
  <c r="R4" i="1" a="1"/>
  <c r="R4" i="1" s="1"/>
  <c r="AI4" i="1" s="1"/>
  <c r="AG3" i="1"/>
  <c r="AE3" i="1"/>
  <c r="AC3" i="1"/>
  <c r="AA3" i="1"/>
  <c r="W3" i="1"/>
  <c r="R3" i="1" a="1"/>
  <c r="R3" i="1" s="1"/>
  <c r="AI3" i="1" s="1"/>
  <c r="AG2" i="1"/>
  <c r="AE2" i="1"/>
  <c r="AE105" i="1" s="1"/>
  <c r="AC2" i="1"/>
  <c r="AC105" i="1" s="1"/>
  <c r="AA2" i="1"/>
  <c r="AA105" i="1" s="1"/>
  <c r="W2" i="1"/>
  <c r="W105" i="1" s="1"/>
  <c r="R2" i="1" a="1"/>
  <c r="R2" i="1" s="1"/>
  <c r="R105" i="1" l="1"/>
  <c r="AI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<sst xmlns="http://schemas.openxmlformats.org/spreadsheetml/2006/main" count="2417" uniqueCount="2081">
  <si>
    <t>#</t>
  </si>
  <si>
    <t>Domain</t>
  </si>
  <si>
    <t>Tool Name</t>
  </si>
  <si>
    <t>Title</t>
  </si>
  <si>
    <t>Main idea</t>
  </si>
  <si>
    <t>Strength</t>
  </si>
  <si>
    <t>Limitation</t>
  </si>
  <si>
    <t>Year of publication</t>
  </si>
  <si>
    <t xml:space="preserve">Type of paper </t>
  </si>
  <si>
    <t xml:space="preserve">Authors (first, last) </t>
  </si>
  <si>
    <t>Venue</t>
  </si>
  <si>
    <t xml:space="preserve">Impact factor </t>
  </si>
  <si>
    <t xml:space="preserve"> # of Citation</t>
  </si>
  <si>
    <t>Computational task</t>
  </si>
  <si>
    <t>Computational method</t>
  </si>
  <si>
    <t>Input</t>
  </si>
  <si>
    <t>Output</t>
  </si>
  <si>
    <t>(C4): Standardised I/O: (0,1)</t>
  </si>
  <si>
    <t>Performance matrices</t>
  </si>
  <si>
    <t xml:space="preserve">Performance </t>
  </si>
  <si>
    <t>Lab Validation (C1) : (0,1)</t>
  </si>
  <si>
    <t>Data sources (C5)</t>
  </si>
  <si>
    <t>Integration with Online Databases (C5): (0;1)</t>
  </si>
  <si>
    <t>Data type</t>
  </si>
  <si>
    <t>Data size</t>
  </si>
  <si>
    <t>Data availability (C2)</t>
  </si>
  <si>
    <t>Data availability (C2): (0, 1)</t>
  </si>
  <si>
    <t>Code availability (C3)</t>
  </si>
  <si>
    <t>Code availability (C3): (0, 1)</t>
  </si>
  <si>
    <t>Implementation (C6)</t>
  </si>
  <si>
    <t>Implementation (C6): (0, 1)</t>
  </si>
  <si>
    <t>Application</t>
  </si>
  <si>
    <t>Primary Application</t>
  </si>
  <si>
    <t>Reference (APA)</t>
  </si>
  <si>
    <t>total codes (C1-till-C6) in each row</t>
  </si>
  <si>
    <t>Pharma</t>
  </si>
  <si>
    <t>ADMET</t>
  </si>
  <si>
    <t>ADMET-AI: a machine learning ADMET platform for evaluation of large-scale chemical libraries</t>
  </si>
  <si>
    <t>A platform for predicting ADMET (Absorption, Distribution, Metabolism, Excretion, and Toxicity) properties using graph neural networks and multi-task learning</t>
  </si>
  <si>
    <t>● High accuracy across ADMET properties
● Fast predictions with 45% time reduction compared to alternatives
● Open-source and scalable</t>
  </si>
  <si>
    <t>● Relies on curated datasets
● Requires expertise for local installation and custom usage 
● Limited to TDC datasets; computational predictions without wet lab validation</t>
  </si>
  <si>
    <t xml:space="preserve">Original Research </t>
  </si>
  <si>
    <t>Kyle Swanson, Parker Walther, Jeremy Leitz, Souhrid Mukherjee, Joseph C. Wu, Rabindra V. Shivnaraine, James Zou</t>
  </si>
  <si>
    <t>Bioinformatics</t>
  </si>
  <si>
    <t>● Prediction
● Regression 
● Classification</t>
  </si>
  <si>
    <t>● Graph Neural Networks (GNNs)
● Multi-Task Learning</t>
  </si>
  <si>
    <t>● SMILES strings
● RDKit-generated molecular descriptors</t>
  </si>
  <si>
    <t>● ADMET property predictions</t>
  </si>
  <si>
    <t>● R² (for regression) 
● AUROC (for classification)</t>
  </si>
  <si>
    <t>● R² &gt; 0.6 (for 5 out of 10 regression datasets) 
● AUROC &gt; 0.85 (for 20 out of 31 classification datasets)</t>
  </si>
  <si>
    <t>● DrugBank (v5.1.10) 
● Therapeutics Data Commons (TDC v0.4.1)</t>
  </si>
  <si>
    <t>● Structured (SMILES)</t>
  </si>
  <si>
    <t>● 41 datasets from TDC 
● 2579 DrugBank molecules</t>
  </si>
  <si>
    <t>● Available: https://doi.org/10.5281/zenodo.10372418</t>
  </si>
  <si>
    <t>● Available: github.com/swansonk14/admet_ai</t>
  </si>
  <si>
    <t>● Web-based platform (Flask) 
● Local Python package</t>
  </si>
  <si>
    <t>● Drug discovery and ADMET prediction</t>
  </si>
  <si>
    <t>Swanson, K., Walther, P., Leitz, J., Mukherjee, S., Wu, J. C., Shivnaraine, R. V., &amp; Zou, J. (2024). ADMET-AI: a machine learning ADMET platform for evaluation of large-scale chemical libraries. Bioinformatics, 40(1), 1-8. https://doi.org/10.1093/bioinformatics/btae416</t>
  </si>
  <si>
    <t>AIDDISON</t>
  </si>
  <si>
    <t>AIDDISON: Empowering Drug Discovery with AI/ML and CADD Tools in a Secure, Web-Based SaaS Platform</t>
  </si>
  <si>
    <t>AIDDISON is a secure, web-based AI/ML-powered platform integrating computer-aided drug design (CADD) tools for drug discovery, facilitating hit identification and lead optimization</t>
  </si>
  <si>
    <t>● Seamless integration of AI/ML and CADD tools
● Enables less computer-savvy scientists to utilize AI/ML in drug discovery
● Supports virtual screening and generative models
● Includes security compliance with ISO 27001 standards</t>
  </si>
  <si>
    <t>●  Commercial platform requiring subscription (not freely accessible)
●   relies on proprietary third-party tools (FTrees, Flare, SYNTHIA)
●   no experimental validation
●   computational costs</t>
  </si>
  <si>
    <t>Andrew Rusinko, Mohammad Rezaei, Lukas Friedrich, Hans-Peter Buchstaller, Daniel Kuhn, Ashwini Ghogare</t>
  </si>
  <si>
    <t>Journal of Chemical Information and Modeling</t>
  </si>
  <si>
    <t>● Prediction 
● Optimization 
● Similarity Search 
● Molecular Docking 
● Generative Modeling</t>
  </si>
  <si>
    <t>● Supervised Learning 
● Deep Learning 
● Reinforcement Learning 
● Graph Neural Networks (GNNs)</t>
  </si>
  <si>
    <t>● SMILES (.smi) 
● Molecular Structures 
● 2D/3D representations 
● Public databases (ChEMBL, PubChem, ZINC)</t>
  </si>
  <si>
    <t>● Predicted ADMET properties 
● Docking Scores 
● Virtual compound libraries 
● Optimized molecule sets</t>
  </si>
  <si>
    <t>● Docking Score 
● Similarity Score 
● Synthetic Accessibility Score 
● QED (Quantitative Estimation of Drug-likeness)</t>
  </si>
  <si>
    <t>● Score-based ranking 
● Prioritized molecular hits for synthesis</t>
  </si>
  <si>
    <t>● ChEMBL: https://www.ebi.ac.uk/chembl/ 
● PubChem: https://pubchem.ncbi.nlm.nih.gov/ 
● ZINC: https://zinc.docking.org/ 
● Enamine REAL Space: https://enamine.net/compound-collections/real-compounds/real-space 
● WuXi GalaXi: https://galaxi.wuxiapptec.com/</t>
  </si>
  <si>
    <t>● Structured (SMILES, tabular) 
● Semi-structured (JSON, XML)</t>
  </si>
  <si>
    <t>● Large (Billions of molecules in virtual screening)</t>
  </si>
  <si>
    <t xml:space="preserve">● Publicly available datasets, proprietary implementations require access	</t>
  </si>
  <si>
    <r>
      <rPr>
        <sz val="12"/>
        <rFont val="Calibri"/>
        <family val="2"/>
        <scheme val="major"/>
      </rPr>
      <t xml:space="preserve"> Open-source components: ●REINVENT 3.2</t>
    </r>
    <r>
      <rPr>
        <sz val="12"/>
        <color theme="10"/>
        <rFont val="Calibri"/>
        <family val="2"/>
        <scheme val="major"/>
      </rPr>
      <t xml:space="preserve">   https://github.com/MolecularAI/Reinvent)  
</t>
    </r>
    <r>
      <rPr>
        <sz val="12"/>
        <rFont val="Calibri"/>
        <family val="2"/>
        <scheme val="major"/>
      </rPr>
      <t>● RDKit</t>
    </r>
    <r>
      <rPr>
        <sz val="12"/>
        <color theme="10"/>
        <rFont val="Calibri"/>
        <family val="2"/>
        <scheme val="major"/>
      </rPr>
      <t xml:space="preserve"> https://github.com/rdkit/rdkit Case study parameters  
</t>
    </r>
    <r>
      <rPr>
        <sz val="12"/>
        <rFont val="Calibri"/>
        <family val="2"/>
        <scheme val="major"/>
      </rPr>
      <t xml:space="preserve">● </t>
    </r>
    <r>
      <rPr>
        <sz val="12"/>
        <color theme="10"/>
        <rFont val="Calibri"/>
        <family val="2"/>
        <scheme val="major"/>
      </rPr>
      <t xml:space="preserve"> https://zenodo.org/record/1023100</t>
    </r>
    <r>
      <rPr>
        <sz val="12"/>
        <rFont val="Calibri"/>
        <family val="2"/>
        <scheme val="major"/>
      </rPr>
      <t xml:space="preserve"> Platform code is proprietary (commercial SaaS)</t>
    </r>
  </si>
  <si>
    <t>● Web-based SaaS platform 
● API integration for private datasets 
● Connection to retrosynthesis software (SYNTHIA)</t>
  </si>
  <si>
    <t>● Drug discovery 
● Lead optimization 
● Virtual screening 
● Molecular property prediction</t>
  </si>
  <si>
    <t>Rusinko, A., Rezaei, M., Friedrich, L., Buchstaller, H. P., Kuhn, D., &amp; Ghogare, A. (2024). AIDDISON: Empowering Drug Discovery with AI/ML and CADD Tools in a Secure, Web-Based SaaS Platform. Journal of Chemical Information and Modeling, 64(3), 3-8. https://doi.org/10.1021/acs.jcim.3c01016</t>
  </si>
  <si>
    <t>Chemistry</t>
  </si>
  <si>
    <t>AiZynthFinder</t>
  </si>
  <si>
    <t>AiZynthFinder: a fast, robust and flexible open-source software for retrosynthetic planning</t>
  </si>
  <si>
    <t>AiZynthFinder is an open-source software for retrosynthetic planning, using Monte Carlo tree search and neural networks to break down molecules into purchasable precursors</t>
  </si>
  <si>
    <t>● Fast execution (solution in &lt;10s, full search &lt;1min) 
● Open-source and well-documented 
● Uses Monte Carlo tree search guided by a neural network policy</t>
  </si>
  <si>
    <t>●   Does not include a filter to remove unfeasible reactions
●   Does not utilize different policies for expansion and rollout phases (unlike Segler et al.)
●   Limited to template-based approach (requires reaction templates)
●   Route quality scoring is not well-defined
●   Depends on quality of stock database and reaction templates
●   No integrated route scoring or ranking framework yet</t>
  </si>
  <si>
    <t>Genheden, S., Thakkar, A., Chadimová, V., Reymond, J. L., Engkvist, O., &amp; Bjerrum, E.</t>
  </si>
  <si>
    <t>Journal of Cheminformatics</t>
  </si>
  <si>
    <t>●  Retrosynthetic planning  
●  Search (Monte Carlo tree search) 
●  Optimization (route finding)
●  Template application
●  Molecule decomposition</t>
  </si>
  <si>
    <t>● Monte Carlo Tree Search (MCTS) 
● Neural Network Policy (template prioritization) 
● Upper Confidence Bound (UCB) statistics 
● Template-based reaction application (using reaction templates from USPTO)</t>
  </si>
  <si>
    <t xml:space="preserve">● SMILES strings 
● Configuration files (YAML format) 
● Stock database (InChI keys of purchasable compounds) </t>
  </si>
  <si>
    <t>● JSON/CSV output files</t>
  </si>
  <si>
    <t>● Search time 
● Solution time 
● Number of solved routes 
● Average number of steps</t>
  </si>
  <si>
    <t>● Average search time 38.7s
● Average solution time 7.1s 
● 55 solved routes out of 100 (55% success rate)
● Average 2.4 steps per route
● Average 2.7 precursors per route
● Typically finds solution in &lt;10s and completes search in &lt;1min</t>
  </si>
  <si>
    <t>● USPTO (United States Patent Office) reaction database for templates
● ZINC database (17,422,831 fragment compounds: MW ≤250 D, log P ≤3.5, reactivity standard/reactive) 
● Enamine building blocks (mentioned for additional stock)
● ChEMBL (used for benchmarking)
● Reaxys (mentioned as alternative policy source)</t>
  </si>
  <si>
    <t>● Structured (SMILES strings)</t>
  </si>
  <si>
    <t>● 17,422,831 compounds from ZINC database
● Benchmarked on 100 random ChEMBL compounds</t>
  </si>
  <si>
    <t>● Available: https://doi.org/10.6084/m9.figshare.12334577.v1</t>
  </si>
  <si>
    <t>● Available: https://github.com/MolecularAI/aizynthfinder</t>
  </si>
  <si>
    <t>● Python-based software with CLI and GUI</t>
  </si>
  <si>
    <t>● Retrosynthetic planning for drug discovery</t>
  </si>
  <si>
    <t>Genheden, S., Thakkar, A., Chadimová, V., Reymond, J. L., Engkvist, O., &amp; Bjerrum, E. (2020). AiZynthFinder: a fast, robust and flexible open-source software for retrosynthetic planning. Journal of Cheminformatics, 12, 70. https://doi.org/10.1186/s13321-020-00472-1</t>
  </si>
  <si>
    <t>Health</t>
  </si>
  <si>
    <t>ALEX</t>
  </si>
  <si>
    <t>Analysis of Lipid Experiments (ALEX): A Software Framework for Analysis of High-Resolution Shotgun Lipidomics Data</t>
  </si>
  <si>
    <t>ALEX is a software framework for processing high-resolution shotgun lipidomics data, featuring automated lipid identification, database integration, and visualization tools​</t>
  </si>
  <si>
    <t>● Automated lipid identification and export 
● Supports integration of accessory lipid features 
● Uses a robust database table format for lipidome data</t>
  </si>
  <si>
    <t>● Limited to lipidomics applications (shotgun lipidomics only, not LC-MS based)
● Requires integration with additional software for advanced statistical analysis (Orange for computations, Tableau for visualization)
● Depends on proprietary MSFileReader library (version 2.2 from Thermo Scientific)
● Specific to high-resolution Orbitrap mass spectrometry platforms
● Requires manual compilation of target lists for each FT MS scan range
● Limited to sum composition annotation (not molecular composition)
● Does not include filtering to remove unfeasible reactions</t>
  </si>
  <si>
    <t>Peter Husen, Kirill Tarasov, Maciej Katafiasz, Elena Sokol, Johannes Vogt, Jan Baumgart, Robert Nitsch, Kim Ekroos, Christer S. Ejsing</t>
  </si>
  <si>
    <t>PLOS ONE</t>
  </si>
  <si>
    <t>● Lipid identification
● Feature extraction (lipid species intensity from mass spectra)
● Data integration (sample information, accessory lipid features)
● Quantification (molar abundance computation)
● Visualization (lipidome composition)
● Database querying</t>
  </si>
  <si>
    <t>● Database querying (SQLite database for lipid identification)
● Target-based identification (using pre-compiled target lists)
● Lock mass adjustment (automatic calibration offset correction using three-point quadratic interpolation)
● Peak list averaging (profile mode FT MS data)
● Database table format processing</t>
  </si>
  <si>
    <t>● .RAW files (Thermo Orbitrap proprietary format)
● .YAML configuration files
● .txt target lists
● Internal lipid standards
● Lock mass ions
● Sample information files</t>
  </si>
  <si>
    <t>● .csv files (lipid species data)
● .txt files (peak lists)
● Tableau files (visualization)
● Lipid intensities
● Peak areas
● Molar abundance (fmol)</t>
  </si>
  <si>
    <t>● Accuracy of lipid identification 
● Data completeness 
● Processing time</t>
  </si>
  <si>
    <t>● High accuracy (0.4 ppm mass error)​</t>
  </si>
  <si>
    <t>● Public lipid databases 
● Experimental mass spectrometry data</t>
  </si>
  <si>
    <t>● Structured (CSV, SQL) 
● Semi-Structured (Text Files)</t>
  </si>
  <si>
    <t>● 997 lipid species
● 56 .RAW files
● 1,050,504 data points
● ALEX database: &gt;20,000 lipid species, &gt;85 lipid classes</t>
  </si>
  <si>
    <t xml:space="preserve">	
● Available:
http://www.mslipidomics.info/lipid-calc/</t>
  </si>
  <si>
    <t>● Available:
http://mslipidomics.info/contents/</t>
  </si>
  <si>
    <t>● Software framework 
● Web-based tools 
● Database querying tools</t>
  </si>
  <si>
    <t>● Neurolipidomics 
● Mass spectrometry-based lipidomics</t>
  </si>
  <si>
    <t>Husen, P., Tarasov, K., Katafiasz, M., Sokol, E., Vogt, J., Baumgart, J., Nitsch, R., Ekroos, K., &amp; Ejsing, C. S. (2013). Analysis of Lipid Experiments (ALEX): A Software Framework for Analysis of High-Resolution Shotgun Lipidomics Data. PLOS ONE, 8(11), e79736. https://doi.org/10.1371/journal.pone.0079736</t>
  </si>
  <si>
    <t>ASICS</t>
  </si>
  <si>
    <t>ASICS: an R package for a whole analysis workflow of 1D 1H NMR spectra</t>
  </si>
  <si>
    <t>Development of an R package, ASICS, for automated analysis of 1H NMR spectra, including metabolite identification and quantification</t>
  </si>
  <si>
    <t>● Automated workflow for metabolite identification and quantification 
● Improved precision over existing methods 
● Fast processing of large datasets</t>
  </si>
  <si>
    <t>● Low-concentration metabolite identification difficulty
● High-density peak region resolution challenges
● Requires pure metabolite spectra in reference library
● Manual validation needed for ambiguous identifications</t>
  </si>
  <si>
    <t>Lefort, G., Liaubet, L., Canlet, C., Tardivel, P., Père, M. C., Quesnel, H., ... &amp; Servien, R.</t>
  </si>
  <si>
    <t>● Metabolite Identification 
● Quantification 
● Statistical Analysis</t>
  </si>
  <si>
    <t>● Linear modeling
● Variable selection with FWER control
● Maximum Likelihood Estimation (MLE)
● Fast Fourier Transform cross-correlation
● Peak alignment via continuous wavelet transform
● Local linear regression for peak distortion</t>
  </si>
  <si>
    <t>● Bruker raw 1D spectral data files
● Pure metabolite reference library (190 spectra)
● Configuration parameters (user-defined thresholds)
● Preprocessing options (baseline correction, peak alignment)</t>
  </si>
  <si>
    <t>● Identified metabolites list
● Relative quantifications (fmol)
● Reconstructed spectra
● PCA plots
● OPLS-DA plots
● Statistical test results (Kruskal-Wallis)
● VIP scores</t>
  </si>
  <si>
    <t>● Pearson Correlation 
● OPLS-DA VIP Scores</t>
  </si>
  <si>
    <t>● Correlation with dosages: Lactate 0.93, Fructose 0.95, Glucose 0.90
● Processing time: ~1.5 min per spectrum
● Outperforms Autofit, batman, rDolphin
● Successfully identified 22 metabolites in pig plasma study</t>
  </si>
  <si>
    <t xml:space="preserve">● Public datasets (MetaboLights, MTBLS1)	</t>
  </si>
  <si>
    <t xml:space="preserve">● Structured (1H NMR spectral data)	</t>
  </si>
  <si>
    <t>● Pig plasma study: 283 samples (155 at 90 days + 128 at 110 days gestation)
● T2DM study: 134 samples (84 healthy + 50 T2DM patients)
● Reference library: 190 pure metabolite spectra</t>
  </si>
  <si>
    <t>● Available at: https://academic.oup.com/bioinformatics/article/35/21/4356/5448862</t>
  </si>
  <si>
    <t>● Available on Bioconductor: http://bioconductor.org/packages/ASICS/</t>
  </si>
  <si>
    <t>● R Package</t>
  </si>
  <si>
    <t>● Metabolomics research 
● Disease biomarker discovery 
● Metabolic pathway analysis</t>
  </si>
  <si>
    <t>Lefort, G., Liaubet, L., Canlet, C., Tardivel, P., Père, M. C., Quesnel, H., ... &amp; Servien, R. (2019). ASICS: an R package for a whole analysis workflow of 1D 1H NMR spectra. Bioinformatics, 35(21), 4356-4363.</t>
  </si>
  <si>
    <t>GNPS</t>
  </si>
  <si>
    <t>Bioactive Natural Products Identification Using Automation of Molecular Networking Software</t>
  </si>
  <si>
    <t>Automated workflow for identifying bioactive compounds from natural products using molecular networking</t>
  </si>
  <si>
    <t>● Reduces processing time by over 80%
● Automates entire workflow with minimal user intervention
● Integrates multiple tools (MZmine2, GNPS, Cytoscape)
● Reduces steps from 35 to 5</t>
  </si>
  <si>
    <t xml:space="preserve">
● Relies on spectral library availability for compound identification
● Requires manual removal of reference masses from QTOF data
● Dependent on software versions (requires updates if tools change)</t>
  </si>
  <si>
    <t>Original Research</t>
  </si>
  <si>
    <t>Swati Baskiyar, Chang Ren, Kabre L. Heck, Audrey M. Hall, Muhammad Gulfam, Sadaira Packer, Cheryl D. Seals, Angela I. Calderón</t>
  </si>
  <si>
    <t>● Classification
● Feature extraction
● Molecular networking</t>
  </si>
  <si>
    <t>● MZmine2 (spectral feature detection)
● GNPS (feature-based molecular networking)
● Cytoscape (network visualization)
● Pearson correlation (bioactivity score calculation)</t>
  </si>
  <si>
    <t xml:space="preserve">
● .mzXML files
● Bioactivity data (.csv)</t>
  </si>
  <si>
    <t>● Bioactive molecular networks
● .csv tables (feature quantification)
● Network visualization files</t>
  </si>
  <si>
    <t>● Processing time
● Number of user intervention steps
● Compound identification accuracy</t>
  </si>
  <si>
    <t>● Processing time: &lt;1.5 hours (vs 3 hours original)
● Time reduction: &gt;80%
● Steps reduced: 35 to 5
● 10 unknown compounds with high bioactivity identified
● 19 known compounds identified</t>
  </si>
  <si>
    <t>● GNPS spectral libraries
● MassBank
● HMDB</t>
  </si>
  <si>
    <t>● Structured (Mass spectrometry spectral data, .mzML, .mzXML, .CDF)</t>
  </si>
  <si>
    <t>● Psidium guajava sample dataset
● Multiple LC-MS/MS files
● Triplicate injections per sample</t>
  </si>
  <si>
    <t>● https://gnps.ucsd.edu/ProteoSAFe/status.jsp?task=1332dea840cc40b4ae98e1c2d5c39bd8</t>
  </si>
  <si>
    <t>● Not Available</t>
  </si>
  <si>
    <t>● Python
● MZmine2 (batch mode)
● Anaconda platform
● py4cytoscape library</t>
  </si>
  <si>
    <t>●Methodological 
● Identification of bioactive compounds in natural products</t>
  </si>
  <si>
    <r>
      <t xml:space="preserve">Baskiyar, S., Ren, C., Heck, K. L., Hall, A. M., Gulfam, M., Packer, S., Seals, C. D., &amp; Calderón, A. I. (2022). Bioactive Natural Products Identification Using Automation of Molecular Networking Software. </t>
    </r>
    <r>
      <rPr>
        <i/>
        <sz val="12"/>
        <color rgb="FF000000"/>
        <rFont val="Calibri"/>
        <family val="2"/>
        <scheme val="major"/>
      </rPr>
      <t>Journal of Chemical Information and Modeling</t>
    </r>
    <r>
      <rPr>
        <sz val="12"/>
        <color rgb="FF000000"/>
        <rFont val="Calibri"/>
        <family val="2"/>
        <scheme val="major"/>
      </rPr>
      <t>, 62(24), 6378-6385.</t>
    </r>
  </si>
  <si>
    <t>AutoMeKin2021</t>
  </si>
  <si>
    <t>AutoMeKin2021: An open-source program for automated reaction discovery</t>
  </si>
  <si>
    <t>AutoMeKin2021 is an updated version of the tsscds2018 program, designed for the automated discovery of reaction mechanisms. It includes rare-event molecular dynamics (MD) simulations, graph theory-based algorithms, chemical knowledge-based methods, and a web application for job submissions</t>
  </si>
  <si>
    <t>● Rare-event acceleration (BXDE) for enhanced reaction sampling
● Graph theory-based algorithms for efficient TS search
● Web application for online job submission
● Open-source software with multiple search algorithms (bbfs, bots, ChemKnow, vdW)
● Automated workflow requiring minimal user intervention
● Multiple electronic structure interfaces (MOPAC2016, Gaussian09, Entos Qcore)</t>
  </si>
  <si>
    <t>● Accuracy depends on semiempirical quantum-mechanical (SQM) level and input parameters
● ChemKnow requires fine-tuning for system-specific constraints
● bots method requires parameter optimization (ω and μ) and generates false positives
● Computational cost increases for larger systems
● ChemKnow needs further testing and optimization</t>
  </si>
  <si>
    <t>Martínez‐Núñez, E., Barnes, G. L., Glowacki, D. R., Kopec, S., Peláez, D., Rodríguez, A., ... &amp; Vazquez, S. A.</t>
  </si>
  <si>
    <t>Journal of Computational Chemistry</t>
  </si>
  <si>
    <t>● Automated reaction mechanism discovery
● Transition state (TS) search and optimization
● Molecular dynamics (MD) simulations
● Rare-event acceleration
● Chemical reaction network analysis
● Kinetics simulations</t>
  </si>
  <si>
    <t>● Boxed molecular dynamics in energy space (BXDE)
● Graph theory (adjacency matrices, Laplacian matrices)
● Bond-breaking/formation search (bbfs)
● Bond-order time series analysis (bots)
● Chemical knowledge-based search (ChemKnow)
● Nudged elastic band (NEB) method
● van der Waals (vdW) search algorithm
● Semiempirical quantum-mechanical methods (PM7, GFN1-xTB)</t>
  </si>
  <si>
    <t>● Molecular geometry (3D coordinates)
● .xyz files
● .dat input files (configuration)
● SMILES strings
● Charge and multiplicity
● Temperature or energy parameters</t>
  </si>
  <si>
    <t>● Reaction Networks 
● Transition States 
● Kinetic Parameters</t>
  </si>
  <si>
    <t>● Accuracy 
● Computational Efficiency 
● Number of New Reaction Pathways Discovered</t>
  </si>
  <si>
    <t>● Formic acid: 8 TSs, 4 minima (4 iterations, 24 paths explored)
● Vinyl cyanide: 59 TSs, 31 minima (850 paths with ChemKnow vs 2000 MD trajectories)
● Protonated uracil: 208 nodes, 244 edges (all-states network)
● pyrene+NO2: 112 minima, 115 TSs (3 iterations, 100 BXDE trajectories)</t>
  </si>
  <si>
    <t>● Public databases 
● Molecular simulation software 
● Computational chemistry datasets</t>
  </si>
  <si>
    <t>● Structured (Molecular Graphs, 3D Structures) 
● Semi-Structured (Simulation Parameters)</t>
  </si>
  <si>
    <t xml:space="preserve">● Large-scale computational dataset	</t>
  </si>
  <si>
    <t>Publicly available at https://rxnkin.usc.es/index.php/AutoMeKin</t>
  </si>
  <si>
    <t>● Standalone software package 
● Web-based job submission platform</t>
  </si>
  <si>
    <t>● Computational Chemistry 
● Drug Discovery 
● Catalysis 
● Reaction Mechanism Prediction</t>
  </si>
  <si>
    <t>Martínez‐Núñez, E., Barnes, G. L., Glowacki, D. R., Kopec, S., Peláez, D., Rodríguez, A., ... &amp; Vazquez, S. A. (2021). AutoMeKin2021: An open‐source program for automated reaction discovery. Journal of computational chemistry, 42(28), 2036-2048.</t>
  </si>
  <si>
    <t>AutoML</t>
  </si>
  <si>
    <t>Interpreting chemisorption strength with AutoML-based feature deletion experiments</t>
  </si>
  <si>
    <t>AutoML applies automated machine learning to optimize chemical and catalysis workflows, reducing experimental trial-and-error and accelerating material discovery</t>
  </si>
  <si>
    <t>● AutoML-based feature deletion experiments provide model-independent knowledge extraction
● Minimal human intervention required in training thousands of ML models
● High stability and consistency across different datasets and ML algorithms
● Successfully reduced feature set from 139 to 21 features while improving MAE from 0.29 to 0.23 eV
● Robust against data pollution (feature errors, label errors, systematic errors)
● Established chemically meaningful feature set using INVASE and greedy deletion algorithms
● Applicable across 1,600+ types of alloy surfaces and 8,400 chemisorption reactions</t>
  </si>
  <si>
    <t>● Limited to diatomic molecules (H2, O2, N2, CO, NO) to minimize adsorbate complexity
● Dataset excludes reactions causing complete surface reconstructions
● Feature deletion requires training thousands of models (computationally intensive)
● ChemKnow method needs further assessment and optimization
● Not all feature selections can be perfectly rationalized due to dataset limitations
● INVASE requires converting non-ordered features to dummy variables</t>
  </si>
  <si>
    <t xml:space="preserve">Li, Z., Zhao, C., Wang, H., Ding, Y., Chen, Y., Schwaller, P., ... &amp; He, Y. </t>
  </si>
  <si>
    <t>PNAS</t>
  </si>
  <si>
    <t>● Chemisorption energy prediction
● Feature importance identification
● Feature set optimization
● Knowledge extraction from DFT databases
● Catalyst surface behavior prediction
● Physical quantity determination</t>
  </si>
  <si>
    <t>● Automatic Machine Learning (AutoML) with Autogluon
● Feature deletion experiments
● Greedy deletion algorithm
● Instance-wise Variable Selection (INVASE)
● XGBoost
● CatBoost
● LightGBM
● Random Forests
● Neural Networks
● Density Functional Theory (DFT)</t>
  </si>
  <si>
    <t>● DFT-calculated chemisorption energies
● Molecular geometries (3D coordinates)
● Electronic configuration (d-band information, orbital data)
● Physiochemical properties (atomic radius, electron affinity, work function, thermal conductivity)
● Geometric features (coordination numbers, cutoff radii 2-6 Å, natural cutoff)
● Binary alloy compositions (L12 and L10 structures, A3B and AB stoichiometries)</t>
  </si>
  <si>
    <t>● Predicted Reaction Outcomes 
● Optimized Catalysts</t>
  </si>
  <si>
    <t>● Mean Absolute Error (MAE)
● Bayesian Information Criterion (BIC)</t>
  </si>
  <si>
    <t>● Ftotal (139 features): MAE = 0.29 eV (XGBoost), 0.23 eV (CatBoost), 0.28 eV (LightGBM)
● F21 (21 features): MAE = 0.259 eV (XGBoost), 0.23 eV (CatBoost), 0.26 eV (LightGBM)
● F111 (INVASE-selected): MAE = 0.31 eV (neural network)
● Covers 1,600+ alloy types and 8,400 chemisorption reactions
● Only 3.1% of 5,000 randomly selected feature sets outperform Ftotal</t>
  </si>
  <si>
    <t>● MamunHighT2019 dataset from Catalysis-Hub.org
● Computational Chemistry Comparison and Benchmark Database (CCCBDB)
● Open-source databases for electronic, geometric, and physiochemical features
● ASE (Atomatic Simulation Environment) library</t>
  </si>
  <si>
    <t>● Structured (Tabular Data, CSV) 
● Semi-Structured (JSON, XML)</t>
  </si>
  <si>
    <t>● 8,418 DFT-calculated chemisorption reactions
● 5 diatomic adsorbates (H2, O2, N2, CO, NO)
● 1,998 bimetallic alloy surfaces
● 37 metal elements from d, ds, and p regions
● 139 features in Ftotal
● 50,000+ ML models trained</t>
  </si>
  <si>
    <t>● Available: https://doi.org/10.1073/pnas.2320232121</t>
  </si>
  <si>
    <t xml:space="preserve">● GitHub: https://github.com/knoevenagel/AI-Catalysis
● Dataset DOI: https://doi.org/10.1073/pnas.2320232121
</t>
  </si>
  <si>
    <t>● Python (Autogluon-Tabular version 0.7.0)
● INVASE algorithm (modified)
● ASE library
● XGBoost, CatBoost, LightGBM
● Neural Networks</t>
  </si>
  <si>
    <t>● Chemical Discovery 
● Catalysis Optimization 
● Material Science</t>
  </si>
  <si>
    <t>Li, Z., Zhao, C., Wang, H., Ding, Y., Chen, Y., Schwaller, P., ... &amp; He, Y. (2024). Interpreting chemisorption strength with AutoML-based feature deletion experiments. Proceedings of the National Academy of Sciences, 121(12), e2320232121.‏</t>
  </si>
  <si>
    <t>BATMAN</t>
  </si>
  <si>
    <t>BATMAN-an R package for the automated quantification of metabolites from nuclear magnetic resonance spectra using a Bayesian model</t>
  </si>
  <si>
    <t>BATMAN is an R package implementing a Bayesian model with MCMC algorithm to automatically deconvolute, assign, and quantify metabolites from 1H NMR spectra, accounting for peak shifts and overlaps commonly seen in biological samples</t>
  </si>
  <si>
    <t>● Fully automated metabolite quantification without manual peak fitting
● Comparable performance to manual deconvolution by experienced spectroscopists
● No pre-alignment or binning required
● Handles uncatalogued metabolites using wavelet basis functions
● Cross-platform (Windows, Mac OS X, Linux/Unix)</t>
  </si>
  <si>
    <t>● Requires user-specified target metabolite list and chemical shift regions
● Computationally intensive (22 min for 8 spectra with 11 metabolites)
● Requires MCMC sampling (2,000 iterations + 4,000 burn-in)
● Time scales linearly with number of metabolites and spectra
● Requires prior information on peak patterns from databases
● Not fully untargeted approach</t>
  </si>
  <si>
    <t>Jie Hao, William Astle, Maria De lorio, Timothy M D Ebbels</t>
  </si>
  <si>
    <t>● Automated metabolite quantification
● Peak deconvolution
● Peak assignment to metabolites
● Concentration estimation
● Modeling peak shifts and overlaps</t>
  </si>
  <si>
    <t>● Bayesian modeling
● Markov Chain Monte Carlo (MCMC) sampling
● Truncated normal distributions (priors)
● Lorentzian peak modeling
● Wavelet basis functions (symlet-6)
● Block updates for joint sampling
● Likelihood tempering</t>
  </si>
  <si>
    <t xml:space="preserve">● 1H NMR spectra (1D Bruker files)
● Text files
● R data format files
</t>
  </si>
  <si>
    <t>● Metabolite concentration estimates
● Posterior distributions
● Fitted spectra</t>
  </si>
  <si>
    <t>● Mean estimation error
● Comparison with manual deconvolution
● Comparison with numerical integration</t>
  </si>
  <si>
    <t>● Reduced mean estimation error compared to conventional numerical integration
● Comparable to manual deconvolution by five experienced NMR spectroscopists
● Successfully fit 26 metabolites in example dataset
● Processing time: 22 min for 8 spectra with 11 metabolites (2.3-4.1 ppm region)
● MCMC: 2,000 iterations + 4,000 burn-in</t>
  </si>
  <si>
    <t>● Human Metabolome Database (HMDB)​</t>
  </si>
  <si>
    <t>● Spectral Data (Bruker files, text files, R data format)</t>
  </si>
  <si>
    <t xml:space="preserve">● Example: 8 NMR spectra
● 11 catalogued metabolites (2.3-4.1 ppm region)
● 26 metabolites in validation dataset
● ~1,000 peaks per spectrum
</t>
  </si>
  <si>
    <t xml:space="preserve">http://www1.imperial.ac.uk/medicine/people/t.ebbels/​	</t>
  </si>
  <si>
    <t>● R package</t>
  </si>
  <si>
    <t>● Metabolomics, biomarker discovery​</t>
  </si>
  <si>
    <t>Hao, J., Astle, W., De Iorio, M., &amp; Ebbels, T. M. D. (2012). BATMAN-an R package for the automated quantification of metabolites from nuclear magnetic resonance spectra using a Bayesian model. Bioinformatics, 28(15), 2088-2090. https://doi.org/10.1093/bioinformatics/bts308</t>
  </si>
  <si>
    <t>BioJupies</t>
  </si>
  <si>
    <t>BioJupies: Automated Generation of Interactive Notebooks for RNA-Seq Data Analysis in the Cloud</t>
  </si>
  <si>
    <t>BioJupies is a web application enabling automated creation and deployment of Jupyter Notebooks for RNA-seq data analysis through an intuitive interface, allowing users to upload raw FASTQ files, processed gene expression tables, or fetch data from &gt;9,000 published GEO studies</t>
  </si>
  <si>
    <t>● Downloadable and reusable via Docker containers
● Chrome extension for direct GEO website integration
● Open-source with modular plug-in architecture
● No programming expertise required</t>
  </si>
  <si>
    <t>● Does not comply with many FAIR guidelines (not citable, no unique identifiers)
● No integration with workflow languages (SnakeMake, Nextflow, CWL, WDL)
● No live notebook launch in cloud (requires local Docker)
● Pre-alignment and binning not incorporated into statistical model</t>
  </si>
  <si>
    <t>Denis Torre, Alexander Lachmann, Avi Ma'ayan</t>
  </si>
  <si>
    <t>Cell Systems</t>
  </si>
  <si>
    <t>● RNA-seq Data Analysis 
● Differential Expression Analysis 
● Enrichment Analysis</t>
  </si>
  <si>
    <t>● kallisto pseudoaligner
● limma (differential expression)
● Characteristic Direction (differential expression)
● PCA
● Hierarchical clustering
● Enrichr (enrichment analysis)
● L1000CDS2 (small molecule query)
● L1000FWD (small molecule query)</t>
  </si>
  <si>
    <t>● FASTQ files (raw RNA-seq)
● Excel spreadsheets (.xlsx)
● Comma-separated text files (.csv)
● HDF5 files (.h5)</t>
  </si>
  <si>
    <t>● Jupyter Notebook (.ipynb)
● Interactive visualizations
● Differential expression tables
● Enrichment analysis results
● Docker containers</t>
  </si>
  <si>
    <t>● Processing time
● Cost per sample
● Number of samples processed
● Notebook generation time</t>
  </si>
  <si>
    <t>● Average alignment cost: $0.0081 per sample
● Alignment time: 10-15 minutes per FASTQ file
● Notebook generation time: 10 seconds to 2 minutes
● Processed 986 user-submitted samples
● Access to &gt;300,000 preprocessed RNA-seq samples from GEO
● Processes up to 5 concurrent notebook generation requests</t>
  </si>
  <si>
    <t>● Gene Expression Omnibus (GEO)
● ARCHS4 database (http://archs4.cloud)
● Human Metabolome Database (HMDB)</t>
  </si>
  <si>
    <t>● Structured (Tabular) 
● Semi-structured (JSON)</t>
  </si>
  <si>
    <t>● &gt;9,000 published GEO studies
● &gt;300,000 preprocessed RNA-seq samples
● 986 user-submitted samples processed
● FASTQ files: &gt;1 GB per sample</t>
  </si>
  <si>
    <r>
      <rPr>
        <sz val="12"/>
        <rFont val="Calibri"/>
        <family val="2"/>
        <scheme val="major"/>
      </rPr>
      <t xml:space="preserve">●Available </t>
    </r>
    <r>
      <rPr>
        <u/>
        <sz val="12"/>
        <color theme="10"/>
        <rFont val="Calibri"/>
        <family val="2"/>
        <scheme val="major"/>
      </rPr>
      <t xml:space="preserve"> (https://www.ncbi.nlm.nih.gov/geo)&amp;#8203;:contentReference[oaicite:0]{index=0}</t>
    </r>
  </si>
  <si>
    <t>Source code available on GitHub (https://github.com/MaayanLab/biojupies)&amp;#8203;:contentReference[oaicite:1]{index=1}</t>
  </si>
  <si>
    <t>● Web-based platform (http://biojupies.cloud)&amp;#8203;:contentReference[oaicite:2]{index=2}</t>
  </si>
  <si>
    <t>● RNA-seq data analysis and visualization</t>
  </si>
  <si>
    <t>Torre, D., Lachmann, A., &amp; Ma'ayan, A. (2018). BioJupies: Automated generation of interactive notebooks for RNA-seq data analysis in the cloud. Cell Systems, 7(5), 556-561.e3. https://doi.org/10.1016/j.cels.2018.10.007</t>
  </si>
  <si>
    <t>BioPAN</t>
  </si>
  <si>
    <t>BioPAN: a web-based tool to explore mammalian lipidome metabolic pathways on LIPID MAPS</t>
  </si>
  <si>
    <t>Web-based tool for visualizing mammalian lipid metabolic pathways using quantitative lipidomics data</t>
  </si>
  <si>
    <t>● Open-access web platform
● Fully integrated with LIPID MAPS and LipidLynxX
● Interactive visualization of lipid networks
● User-friendly interface
● Supports comparison of different biological conditions</t>
  </si>
  <si>
    <t>● Requires Standardised lipid nomenclature for compatibility
● Limited to predefined lipid subclasses and reactions
● Needs manual adjustments for non-conventional naming</t>
  </si>
  <si>
    <t>Caroline Gaud, Bebiana C. Sousa, An Nguyen, Maria Fedorova, Zhixu Ni, Valerie B. O'Donnell, Michael J.O. Wakelam, Simon Andrews, Andrea F. Lopez-Clavijo</t>
  </si>
  <si>
    <t>F1000Research</t>
  </si>
  <si>
    <t>Not Available</t>
  </si>
  <si>
    <t xml:space="preserve">● Pathway analysis 
● Metabolic network visualization 
● Statistical evaluation of lipidomic changes	</t>
  </si>
  <si>
    <t>● Z-score statistical modeling
● Cytoscape.js for graph visualization
● PHP for request handling
● R for data processing</t>
  </si>
  <si>
    <t>● .csv files</t>
  </si>
  <si>
    <t>● Interactive pathway graphs
● .tsv tables
● .jpeg graphics
● .png graphics
● .json files
● .txt files
● .svg graphics</t>
  </si>
  <si>
    <t>● Z-score calculations for pathway significance</t>
  </si>
  <si>
    <t>● Pathways with Z &gt; 1.645 considered significant (p &lt; 0.05)</t>
  </si>
  <si>
    <t>● LIPID MAPS Structure Database (LMSD)
● LipidLynxX for lipid name conversion</t>
  </si>
  <si>
    <t>● Structured Data (CSV) 
● Numerical Data (Lipid Quantification)</t>
  </si>
  <si>
    <t>● 94 lipid reactions
● 41 lipid subclasses</t>
  </si>
  <si>
    <t>Publicly available at: https://lipidmaps.org/biopan/</t>
  </si>
  <si>
    <t>Available at: https://doi.org/10.17605/OSF.IO/PKD6B18</t>
  </si>
  <si>
    <t xml:space="preserve">
● Web-based platform
● PHP (v7.4.11)
● R (v4.0.2)
● HTML
● jQuery (v3.5.1)
● Cytoscape.js (v3.10.2)</t>
  </si>
  <si>
    <t>● Lipidomics research 
● Metabolic pathway analysis 
● Disease biomarker discovery</t>
  </si>
  <si>
    <t>Gaud, C., Sousa, B. C., Nguyen, A., Fedorova, M., Ni, Z., O'Donnell, V. B., Wakelam, M. J. O., Andrews, S., &amp; Lopez-Clavijo, A. F. (2021). BioPAN: A web-based tool to explore mammalian lipidome metabolic pathways on LIPID MAPS. F1000Research, 10, 4. https://doi.org/10.12688/f1000research.28022.2</t>
  </si>
  <si>
    <t>CAMERA</t>
  </si>
  <si>
    <t>Automated annotation of LC/MS metabolomics data to reduce manual analysis</t>
  </si>
  <si>
    <t>The development of the CAMERA package for metabolomics data processing, integrating algorithms to extract compound spectra, annotate isotope and adduct peaks, and propose accurate compound mass</t>
  </si>
  <si>
    <t>● High annotation success rate (90%)
● Integrates multiple annotation methods
● Reduces manual analysis efforts
● Supports cross-polarity verification
● Open-source Bioconductor package</t>
  </si>
  <si>
    <t>● Performance depends on data quality
● Requires XCMS preprocessing
● Optimal for high-resolution MS data
● Graph clustering precision 0.48</t>
  </si>
  <si>
    <t>Kuhl, C., Tautenhahn, R., Böttcher, C., Larson, T. R., &amp; Neumann, S.</t>
  </si>
  <si>
    <t>Analytical Chemistry</t>
  </si>
  <si>
    <t>● Feature grouping
● Isotope detection
● Adduct annotation
● Molecular mass calculation
● Charge state determination</t>
  </si>
  <si>
    <t>● Graph-based clustering (HCS, LPC algorithms)
● Retention time grouping
● Peak shape correlation (Pearson)
● Intensity correlation across samples
● Dynamic rule-based annotation</t>
  </si>
  <si>
    <t>● LC/MS raw data
● XCMS feature lists</t>
  </si>
  <si>
    <t>● Annotated compound spectra
● Molecular masses
● Ion species annotations</t>
  </si>
  <si>
    <t>● Precision 
● Recall 
● Molecular mass annotation accuracy</t>
  </si>
  <si>
    <t>● Recall: 0.93
● Precision: 0.48
● Molecular mass annotation: 90%</t>
  </si>
  <si>
    <t>● MM39 compound mixture
● Arabidopsis thaliana extracts
● PubChem (for compound IDs)</t>
  </si>
  <si>
    <t>● Numerical Data (Mass spectrometry intensities)
● Tabular Data (Feature lists)</t>
  </si>
  <si>
    <t>● 39 known compounds (MM39)
● 48 raw data files (Brassicaceae seed screening)
● 90 phenolic choline esters detected
● 46 Trp-derived metabolites identified</t>
  </si>
  <si>
    <r>
      <t>● Available</t>
    </r>
    <r>
      <rPr>
        <sz val="12"/>
        <color rgb="FF000000"/>
        <rFont val="Calibri"/>
        <family val="2"/>
        <scheme val="major"/>
      </rPr>
      <t>: https://pubs.acs.org/doi/10.1021/ac202450g</t>
    </r>
  </si>
  <si>
    <r>
      <t>● Available</t>
    </r>
    <r>
      <rPr>
        <sz val="12"/>
        <color rgb="FF000000"/>
        <rFont val="Calibri"/>
        <family val="2"/>
        <scheme val="major"/>
      </rPr>
      <t>:  https://pubs.acs.org/doi/10.1021/ac202450g</t>
    </r>
  </si>
  <si>
    <t>● R Bioconductor Package</t>
  </si>
  <si>
    <t>● Metabolomics data processing
● Compound annotation</t>
  </si>
  <si>
    <t>Kuhl, C., Tautenhahn, R., Böttcher, C., Larson, T. R., &amp; Neumann, S. (2012). CAMERA: an integrated strategy for compound spectra extraction and annotation of liquid chromatography/mass spectrometry data sets. Analytical chemistry, 84(1), 283-289.</t>
  </si>
  <si>
    <t>ChemoSpec</t>
  </si>
  <si>
    <t>ChemoSpec: An R Package for Chemometric Analysis of Spectroscopic Data (Package Version 4.1.15)</t>
  </si>
  <si>
    <t>R package for exploratory chemometric analysis of spectroscopic data (NMR, IR, Raman) using PCA, HCA, and model-based clustering</t>
  </si>
  <si>
    <t xml:space="preserve">
● User-friendly interface with extensive documentation
● Publication-quality graphical outputs
● Supports multiple spectral data types (NMR, IR, Raman, chromatograms)
● Includes robust statistical methods for high-dimensional data
● Open-source with active development (GitHub)</t>
  </si>
  <si>
    <t>● Not tested for mass spectrometry (MS) data
● Requires R programming knowledge
● Limited to exploratory (unsupervised) analysis only
● Manual parameter adjustment needed for some visualizations</t>
  </si>
  <si>
    <t>Software paper</t>
  </si>
  <si>
    <t>Bryan A. Hanson</t>
  </si>
  <si>
    <t>CRAN</t>
  </si>
  <si>
    <t>● Spectral Data Analysis
● Clustering
● Dimensionality Reduction</t>
  </si>
  <si>
    <t>● Principal Component Analysis (PCA)
● Hierarchical Clustering
● Model-Based Clustering (mclust)</t>
  </si>
  <si>
    <t>● .csv files (two columns: frequency, intensity)
● Spectra objects (R)</t>
  </si>
  <si>
    <t>● Spectra objects (R)
● .RData files
● Statistical plots (.pdf, .png)
● PCA scores and loadings</t>
  </si>
  <si>
    <t>● Variance explained (%)
● BIC (Bayesian Information Criterion)
● Classification accuracy</t>
  </si>
  <si>
    <t>● PC1: 93% variance explained
● PC2: 3.3% variance explained
● Clustering: 5 groups identified (mclust optimal model: EVE)</t>
  </si>
  <si>
    <t>● User-provided spectral data
● Built-in datasets (SrE.IR, SrE.NMR, CuticleIR)</t>
  </si>
  <si>
    <t>● Spectral data (NMR, IR, Raman)
● Frequency and intensity values</t>
  </si>
  <si>
    <t>● 16 spectra (SrE.IR dataset)
● 1,868 frequency data points per spectrum
● Resolution: 1.9286 wavenumber/point</t>
  </si>
  <si>
    <t xml:space="preserve">
● https://github.com/bryanhanson/ChemoSpec
● https://cran.r-project.org/web/packages/ChemoSpec/index.html</t>
  </si>
  <si>
    <r>
      <rPr>
        <sz val="12"/>
        <color rgb="FF000000"/>
        <rFont val="Calibri"/>
        <family val="2"/>
        <scheme val="major"/>
      </rPr>
      <t>Available: 
● GitHub Repository:
https://github.com/bryanhanson/ChemoSpec
● CRAN Package:
https://cran.r-project.org/web/packages/ChemoSpec/index.html</t>
    </r>
  </si>
  <si>
    <t>● R package
● CRAN repository
● GitHub repository</t>
  </si>
  <si>
    <t>● Metabolomics
● Spectroscopy-based classification and analysis</t>
  </si>
  <si>
    <t>Hanson, B. A. (2015). ChemoSpec: An R Package for Chemometric Analysis of Spectroscopic Data (Package Version 4.1.15). Retrieved from https://github.com/bryanhanson/ChemoSpec</t>
  </si>
  <si>
    <t>ChemProp</t>
  </si>
  <si>
    <t>ChemProp: A Machine Learning Package for Chemical Property Prediction</t>
  </si>
  <si>
    <t>Open-source deep learning package implementing D-MPNN architecture for predicting molecular properties, reactions, atom/bond-level properties, and spectra from SMILES strings</t>
  </si>
  <si>
    <t>● Versatile functionality (multimolecule, reactions, atom/bond-level, spectra)
● User-friendly (command-line and Python API)
● State-of-the-art performance on benchmark datasets
● Open-source with extensive documentation
● GPU acceleration support
● Multiple uncertainty quantification methods</t>
  </si>
  <si>
    <t>● Conformation-independent (3D structure not considered)
● Requires SMILES input format
● Performance dependent on training data quality
● Computational cost increases with model complexity
● Limited to graph-based molecular representations</t>
  </si>
  <si>
    <t>Esther Heid, Kevin P. Greenman, Yunsie Chung, Shih-Cheng Li, David E. Graff, Florence H. Vermeire, Haoyang Wu, William H. Green, Charles J. McGill</t>
  </si>
  <si>
    <t>● Prediction (molecular properties, reaction properties, spectra)
● Classification (binary and multiclass)
● Regression (continuous properties)</t>
  </si>
  <si>
    <t>● Directed Message Passing Neural Network (D-MPNN)
● Graph Convolutional Neural Network (GCNN)
● Feed-Forward Neural Network (FFN)
● Ensemble learning
● Transfer learning</t>
  </si>
  <si>
    <t>● SMILES strings
● Molecular graphs
● Atom-mapped reactions
● .csv files
● Custom atom/bond features</t>
  </si>
  <si>
    <t>● Molecular property predictions (numerical)
● Spectra (array of intensity values)
● Atomic partial charges
● Bond-level properties
● Latent representations (learned fingerprints)</t>
  </si>
  <si>
    <t>● RMSE
● MAE
● AUROC
● Negative Log-Likelihood (NLL)
● MCC (Matthews Correlation Coefficient)
● ENCE (Expected Normalized Calibration Error)
● Spearman rank correlation</t>
  </si>
  <si>
    <t>● Not available</t>
  </si>
  <si>
    <t>● MoleculeNet
● SAMPL
● RDKit</t>
  </si>
  <si>
    <t>● Structured (Tabular Data, .csv)</t>
  </si>
  <si>
    <t>● https://github.com/chemprop/chemprop_benchmark
● https://doi.org/10.5281/zenodo.8174267</t>
  </si>
  <si>
    <t xml:space="preserve">https://github.com/chemprop/chemprop	</t>
  </si>
  <si>
    <t>● Python package
● PyTorch
● pip install</t>
  </si>
  <si>
    <t>● Molecular property prediction 
● Drug discovery</t>
  </si>
  <si>
    <t>Heid, E., Greenman, K. P., Chung, Y., Li, S.-C., Graff, D. E., Vermeire, F. H., Wu, H., Green, W. H., &amp; McGill, C. J. (2024). ChemProp: A Machine Learning Package for Chemical Property Prediction. Journal of Chemical Information and Modeling, 64, 9-17.</t>
  </si>
  <si>
    <t>ChemTS</t>
  </si>
  <si>
    <t>ChemTS: an efficient python library for de novo molecular generation</t>
  </si>
  <si>
    <t>Python library for de novo molecular generation combining Monte Carlo Tree Search with RNN to optimize molecular properties</t>
  </si>
  <si>
    <t>● Fast molecule generation (41 molecules/min)
● Outperforms VAE methods in finding high-scoring molecules
● Open-source Python library available on GitHub
● Uses structured search via Monte Carlo Tree Search</t>
  </si>
  <si>
    <t>● Reward function design is complex for multiple objectives
● Performance depends on training data quality
● Generated molecules may not be synthesizable in practice
● Limited to SMILES representation</t>
  </si>
  <si>
    <t>Xiufeng Yang, Jinzhe Zhang, Kazuki Yoshizoe, Kei Terayama, Koji Tsuda</t>
  </si>
  <si>
    <t>Science and Technology of Advanced Materials</t>
  </si>
  <si>
    <t>● De novo molecular generation
● Property optimization</t>
  </si>
  <si>
    <t>● Monte Carlo Tree Search (MCTS)
● Recurrent Neural Network (RNN)
● Gated Recurrent Units (GRU)</t>
  </si>
  <si>
    <t>● SMILES strings (text)</t>
  </si>
  <si>
    <t>● Novel molecular structures (SMILES)</t>
  </si>
  <si>
    <t>● Maximum score (J)
● Molecules generated per minute</t>
  </si>
  <si>
    <t>● ChemTS: J = 5.6 ± 0.5 at 8h
● ChemTS: 41 ± 1.6 molecules/min
● RNN+BO: J = 4.5 ± 0.2 at 8h, 8.3 ± 0.0 molecules/min
● CVAE+BO: J = -0.0 ± 0.9 at 8h, 0.1 ± 0.1 molecules/min</t>
  </si>
  <si>
    <t>● ZINC database</t>
  </si>
  <si>
    <t xml:space="preserve">
● 250,000 molecules (ZINC database)</t>
  </si>
  <si>
    <t>https://github.com/tsudalab/ChemTS</t>
  </si>
  <si>
    <t>● Python
● Keras library
● pip install (GitHub repository)</t>
  </si>
  <si>
    <t xml:space="preserve">● Drug discovery
● Materials informatics </t>
  </si>
  <si>
    <t>Yang, X., Zhang, J., Yoshizoe, K., Terayama, K., &amp; Tsuda, K. (2017). ChemTS: an efficient python library for de novo molecular generation. Science and Technology of Advanced Materials, 18(1), 972-976.</t>
  </si>
  <si>
    <t>CLARITY</t>
  </si>
  <si>
    <t>The CLARITY Modular Ambient Health and Wellness Measurement Platform</t>
  </si>
  <si>
    <t>Modular wireless sensor network platform for ambient assisted living combining heterogeneous hardware layers with agent-based intelligent software for health monitoring</t>
  </si>
  <si>
    <t>● Modular hardware design (25mm form factor)
● Multiple sensor layer options (&gt;20 types)
● Agent-based distributed intelligence
● Seamless integration of new sensors
● Context-aware behavior modeling</t>
  </si>
  <si>
    <t>● Non-interventionist approach only
● Limited integration details with external medical systems
● Requires sophisticated hardware for agent support
● No quantitative performance metrics reported</t>
  </si>
  <si>
    <t>Conference Paper</t>
  </si>
  <si>
    <t>Michael Walsh, Michael O'Grady, Mauro Dragone, Richard Tynan, Antonio Ruzzelli, John Barton, Brendan O'Flynn, Gregory O'Hare, Cian O'Mathuna</t>
  </si>
  <si>
    <t>Sensor Web Technologies</t>
  </si>
  <si>
    <t>● Activity recognition
● Behavior pattern detection
● Anomaly detection
● Context inference</t>
  </si>
  <si>
    <t>● Agent-based reasoning
● Probabilistic Graphical Models
● Decision Trees
● Stream-based data processing (GSN)</t>
  </si>
  <si>
    <t>● Sensor data streams (PIR, accelerometer, pressure)
● .xml files (GSN web-service)</t>
  </si>
  <si>
    <t>● Behavior patterns
● Activity alerts
● Visualization interface</t>
  </si>
  <si>
    <t xml:space="preserve">
● Time-series sensor data
● Event streams
● Behavioral logs</t>
  </si>
  <si>
    <t>● Java (SQUAWK VM)
● Agent Factory Micro Edition (AFME)
● Global Sensor Network (GSN)
● Java Modular Component Framework (JMCF)</t>
  </si>
  <si>
    <t>● Remote patient monitoring
● Assisted living for elderly</t>
  </si>
  <si>
    <t>Walsh, M., O'Grady, M., Dragone, M., Tynan, R., Ruzzelli, A., Barton, J., ... &amp; O'Mathuna, C. (2010, July). The CLARITY modular ambient health and wellness measurement platform. In 2010 Fourth International Conference on Sensor Technologies and Applications (pp. 577-583). IEEE.</t>
  </si>
  <si>
    <t>CloMet</t>
  </si>
  <si>
    <t>CloMet: A Novel Open-Source and Modular Software Platform That Connects Established Metabolomics Repositories and Data Analysis Resources</t>
  </si>
  <si>
    <t>Open-source modular platform that standardizes NMR-based metabolomics data from public repositories and converts them into formats compatible with data analysis platforms</t>
  </si>
  <si>
    <t>● Standardizes data from multiple repositories (MetaboLights, Metabolomics Workbench)
● High conversion success rate (95.9%)
● Modular and extensible design
● Available via Docker for easy deployment
● Open-source with code available on GitHub</t>
  </si>
  <si>
    <t>● Limited to NMR-based metabolomics data
● Does not perform data analysis itself, only format conversion
● Requires additional software for processing</t>
  </si>
  <si>
    <t>Jordi Rodeiro, Ester Vidaña-Vila, Joan Navarro, Roger Mallol</t>
  </si>
  <si>
    <t>Journal of Proteome Research</t>
  </si>
  <si>
    <t>● Data Standardization
● Data Transformation</t>
  </si>
  <si>
    <t>● Object-Oriented Programming
● Data Conversion Algorithms</t>
  </si>
  <si>
    <t>● NMR raw data (.fid, .mzXML, .CNX, .nmrML, Bruker directories)
● Study IDs from MetaboLights or Metabolomics Workbench
● .zip files (local data)</t>
  </si>
  <si>
    <t>● .csv files (MetaboAnalyst format)
● .TABULAR files (Workflows4Metabolomics format)
● .zip files (standardized study data)</t>
  </si>
  <si>
    <t>● Data conversion success rate
● Format transformation accuracy</t>
  </si>
  <si>
    <t xml:space="preserve">
● 95.9% format transformation success (47/49 datasets)
● 92.7% complete output generation (38/41 datasets)
● 73.1% overall success rate (38/52 datasets analyzed)</t>
  </si>
  <si>
    <t>● MetaboLights
● Metabolomics Workbench</t>
  </si>
  <si>
    <t>● Structured (NMR spectral data)
● Semi-Structured (Metabolomics datasets)</t>
  </si>
  <si>
    <t>● 49 datasets analyzed from MetaboLights and Metabolomics Workbench
● Datasets contain &gt;11,000 samples</t>
  </si>
  <si>
    <t>● https://pubs.acs.org/doi/10.1021/acs.jproteome.2c00602</t>
  </si>
  <si>
    <t>https://github.com/rmallol/clomet</t>
  </si>
  <si>
    <t>● Python
● Django web framework
● Docker container</t>
  </si>
  <si>
    <t>● Metabolomics research
● Biomedical data analysis
● NMR spectral data standardization</t>
  </si>
  <si>
    <t>Rodeiro, J., Vidaña-Vila, E., Navarro, J., &amp; Mallol, R. (2023). CloMet: A Novel Open-Source and Modular Software Platform That Connects Established Metabolomics Repositories and Data Analysis Resources. Journal of Proteome Research, 22, 2540-2547.</t>
  </si>
  <si>
    <t>Deep Learning Assisted</t>
  </si>
  <si>
    <t>Deep-Learning-Assisted multivariate curve resolution</t>
  </si>
  <si>
    <t>Automated resolution of overlapped GC-MS peaks using CNN models to predict elution regions and adaptive selection of MCR methods</t>
  </si>
  <si>
    <t>● Superior resolution accuracy (R² = 0.988 vs 0.942 for AMDIS)
● Fully automated workflow
● Handles baseline variations and peak tailing
● Extendible to unknown components
● Adaptive method selection (ITTFA/MCR-ALS/FRR)</t>
  </si>
  <si>
    <t>● Requires training CNN model for each compound
● Targeted approach limits scope
● Needs resolved spectra for new components
● Time-consuming model training (8 min per compound)</t>
  </si>
  <si>
    <t xml:space="preserve">Original research </t>
  </si>
  <si>
    <t>Xiaqiong Fan, Pan Ma, Minghui Hou, Yiping Ni, Zhi Fang, Hongmei Lu, Zhimin Zhang</t>
  </si>
  <si>
    <t>Journal of Chromatography A</t>
  </si>
  <si>
    <t>● Peak deconvolution
● Compound identification
● Elution region prediction</t>
  </si>
  <si>
    <t>● Convolutional Neural Networks (CNN)
● Multivariate Curve Resolution-Alternating Least Squares (MCR-ALS)
● Iterative Target Transformation Factor Analysis (ITTFA)
● Full Rank Resolution (FRR)</t>
  </si>
  <si>
    <t>● GC-MS raw data files</t>
  </si>
  <si>
    <t>● Resolved chromatographic profiles
● Resolved mass spectra
● Compound identifications</t>
  </si>
  <si>
    <t>● R² (Explained Variance)
● Accuracy
● Sensitivity
● Specificity
● Correlation coefficient ®</t>
  </si>
  <si>
    <t>● R² = 0.988 (DeepResolution) vs 0.942 (AMDIS)
● Correlation coefficient: r = 0.952
● Accuracy: 99.9%
● Sensitivity: 0.962
● Specificity: 1.000</t>
  </si>
  <si>
    <t>● Simulated datasets
● Fatty acid standard mixtures (37 compounds)
● T2DM plasma samples</t>
  </si>
  <si>
    <t>● Large</t>
  </si>
  <si>
    <t>https://github.com/XiaqiongFan/DeepResolution</t>
  </si>
  <si>
    <t>● Python-based software</t>
  </si>
  <si>
    <t>● Compound identification</t>
  </si>
  <si>
    <t>Fan, X., Ma, P., Hou, M., Ni, Y., Fang, Z., Lu, H., &amp; Zhang, Z. (2020). Deep-Learning-Assisted multivariate curve resolution. Journal of Chromatography A, 1631, 461713. https://doi.org/10.1016/j.chroma.2020.461713</t>
  </si>
  <si>
    <t>DeepMol</t>
  </si>
  <si>
    <t>DeepMol: An Automated Machine and Deep Learning Framework for Computational Chemistry</t>
  </si>
  <si>
    <t>DeepMol is an AutoML tool designed to automate machine learning tasks in cheminformatics, focusing on data pre-processing, feature extraction, model selection, and optimization</t>
  </si>
  <si>
    <t>● Automates ML pipeline for cheminformatics.
● Supports multiple ML/DL models (TensorFlow, Scikit-Learn, DeepChem)
● Includes feature selection, molecular standardization, and optimization
● Open-source with comprehensive documentation</t>
  </si>
  <si>
    <t>● Limited benchmarking against newer AutoML tools
● Optimization restricted to predefined ML models
● No explicit mention of large-scale parallel computing support</t>
  </si>
  <si>
    <t>João Correia, João Capela, Miguel Rocha</t>
  </si>
  <si>
    <t>bioRxiv</t>
  </si>
  <si>
    <t>● Prediction
● Classification
● Feature selection
● Optimization</t>
  </si>
  <si>
    <t>● AutoML
● Deep Learning (Graph Neural Networks, CNNs, Transformers)
● Supervised Learning (Random Forests, Decision Trees, SVMs)
● Unsupervised Learning (PCA, t-SNE, Clustering)
● Hyperparameter Optimization</t>
  </si>
  <si>
    <t>● SMILES (.smi)
● Structure Data Files (SDF)
● Molecular Graphs</t>
  </si>
  <si>
    <t>● Predicted molecular properties
● Optimized ML pipelines
● Feature importance rankings</t>
  </si>
  <si>
    <t>● AUROC
● SC (Skill Coefficient)
● MAE (Mean Absolute Error)</t>
  </si>
  <si>
    <t>● AUROC: 0.847 (Ames dataset)
● AUROC: 0.885 (DILI dataset)
● SC: 0.485 (Half-Life dataset)</t>
  </si>
  <si>
    <t>● Therapeutics Data Commons (TDC)
● PubChem</t>
  </si>
  <si>
    <t>● Structured (Tabular)
● Graph Data (Molecular Graphs)
● Sequence Data (SMILES)</t>
  </si>
  <si>
    <t>● Large-scale datasets (millions of molecules)</t>
  </si>
  <si>
    <t>https://doi.org/10.5281/zenodo.11184008
https://deepmol.readthedocs.io/en/latest/</t>
  </si>
  <si>
    <t>https://github.com/BioSystemsUM/DeepMol
https://github.com/BioSystemsUM/deepmol_case_studies</t>
  </si>
  <si>
    <t>● Python package (pip install deepmol[all])
● Docker image (biosystemsum/deepmol:latest)</t>
  </si>
  <si>
    <t>● Drug discovery
● QSAR/QSPR modeling
● Toxicity prediction</t>
  </si>
  <si>
    <t>Correia, J., Capela, J., &amp; Rocha, M. (2024). Deepmol: an automated machine and deep learning framework for computational chemistry. Journal of Cheminformatics, 16(1), 136.</t>
  </si>
  <si>
    <t>DeepMSProfiler</t>
  </si>
  <si>
    <t>An end-to-end deep learning method for mass spectrometry data analysis to reveal disease-specific metabolic profiles</t>
  </si>
  <si>
    <t>The study presents DeepMSProfiler, a deep learning-based tool for metabolomic analysis that directly processes raw LC-MS data to classify disease states and discover disease-related metabolites. It is applied to lung adenocarcinoma detection and other metabolic profiling tasks</t>
  </si>
  <si>
    <t>● Uses raw LC-MS data without peak extraction, reducing preprocessing errors
● Employs ensemble deep learning models for better classification performance
● Demonstrates high accuracy (96.1%) for early lung adenocarcinoma detection
● Effectively removes batch effects and cross-hospital variability</t>
  </si>
  <si>
    <t>● Limited ability to distinguish individual metabolite peaks contributing to disease classification
● Some unknown metabolite signals remain unclassified
● The resolution of the model may not detect all individual features relevant to disease</t>
  </si>
  <si>
    <t>Deng, Y., Yao, Y., Wang, Y., Yu, T., Cai, W., Zhou, D., ... &amp; Li, W.</t>
  </si>
  <si>
    <t>Nature Communications</t>
  </si>
  <si>
    <t>● Classification (disease state prediction)
● Metabolite profiling
● Biomarker discovery</t>
  </si>
  <si>
    <t>● Ensemble deep learning
● Convolutional Neural Network (DenseNet121)
● RISE (Randomized Input Sampling for Explanation)
● PIUMet (Priority-collecting Steiner Forest)</t>
  </si>
  <si>
    <t>● .mzML files
● Raw LC-MS data (3D: retention time, m/z, intensity)</t>
  </si>
  <si>
    <t>● Disease classifications (predicted labels)
● Metabolite contribution heatmaps
● Metabolite-protein networks</t>
  </si>
  <si>
    <t>● Accuracy
● Precision
● Recall
● F1-score
● AUC (Area Under Curve)</t>
  </si>
  <si>
    <t>● Accuracy: 96.1%
● AUC: 0.99
● Precision: 96%
● Recall: 95%
● F1-score: 98%</t>
  </si>
  <si>
    <t>● CCLE (Cancer Cell Line Encyclopedia)
● HMDB (Human Metabolome Database)
● KEGG (Kyoto Encyclopedia of Genes and Genomes)
● iRefIndex (protein interaction database)
● Recon2 (metabolic reconstruction database)
● MetaboLights (MTBLS1129)</t>
  </si>
  <si>
    <t>● Structured (Numerical Data - LC-MS signals)</t>
  </si>
  <si>
    <t>● 859 human serum samples (lung study)
● 928 cell lines (CCLE lipid metabolomics)
● 236 samples (colon cancer dataset)</t>
  </si>
  <si>
    <t>● https://doi.org/10.24433/CO.2328223.v1</t>
  </si>
  <si>
    <t>https://github.com/yjdeng9/DeepMSProfiler</t>
  </si>
  <si>
    <t>● Python
● TensorFlow + Keras
● PyTorch</t>
  </si>
  <si>
    <t>● Disease Diagnosis
● Biomarker Discovery
● Metabolomic Profiling</t>
  </si>
  <si>
    <t>Deng, Y., Yao, Y., Wang, Y., Yu, T., Cai, W., Zhou, D., ... &amp; Li, W. (2024). An end-to-end deep learning method for mass spectrometry data analysis to reveal disease-specific metabolic profiles. Nature Communications, 15(1), 7136.</t>
  </si>
  <si>
    <t>DEIMoS</t>
  </si>
  <si>
    <t>DEIMoS: An Open-Source Tool for Processing High-Dimensional</t>
  </si>
  <si>
    <t>Python tool for N-dimensional mass spectrometry data processing with platform-agnostic algorithms</t>
  </si>
  <si>
    <t xml:space="preserve">
● N-dimensional processing capability
● Platform-agnostic design
● Open-source with extensive documentation
● Scalable to HPC and cloud resources
● Integrated with Snakemake workflow
● Supports multiple instrument types</t>
  </si>
  <si>
    <t>● Requires mzML format conversion
● Manual kernel size selection needed
● GUI under development
● Processing time scales with data resolution</t>
  </si>
  <si>
    <t>Sean M. Colby, Christine H. Chang, Jessica L. Bade, Jamie R. Nunez, Madison R. Blumer,
Daniel J. Orton, Kent J. Bloodsworth, Ernesto S. Nakayasu, Richard D. Smith, Yehia M. Ibrahim,
Ryan S. Renslow,and Thomas O. Metz</t>
  </si>
  <si>
    <t>● Feature detection
● Feature alignment
● CCS calibration
● MS/MS deconvolution
● Isotope detection</t>
  </si>
  <si>
    <t>● N-dimensional maximum filter
● Support vector regression (SVR)
● Agglomerative clustering
● Cosine similarity</t>
  </si>
  <si>
    <t>● .mzML files</t>
  </si>
  <si>
    <t>● .hdf5 files
● .csv files
● .mgf files
● .mzML files</t>
  </si>
  <si>
    <t>● Cosine similarity
● Correlation coefficient in CCS calibration
● Regression residuals
● Reproducibility across triplicates</t>
  </si>
  <si>
    <t>● Peak detection: 0.54 core-hours per file (positive mode)
● Peak detection: 0.57 core-hours per file (negative mode)
● Alignment: 39.89 core-seconds per replicate set (positive mode)
● MS2 deconvolution: 1.18 core-hours per file (positive mode)</t>
  </si>
  <si>
    <t>● Public MS datasets, from: GNPS</t>
  </si>
  <si>
    <t>● LC-MS/MS spectral data</t>
  </si>
  <si>
    <t>● 912 data files
● 1.1 terabytes (Agilent dataset)
● 11,698 features (positive mode)
● 14,784 features (negative mode)</t>
  </si>
  <si>
    <t xml:space="preserve"> https://massive.ucsd.edu (MSV000088849)
● https://massive.ucsd.edu (MSV000088020)
● https://www.ebi.ac.uk/metabolights (MTBLS812)</t>
  </si>
  <si>
    <t>● https://github.com/pnnl/deimos
● https://deimos.readthedocs.io</t>
  </si>
  <si>
    <t>● Python API
● Snakemake workflow
● Command-line interface (CLI)
● Anaconda package
● PyPI package</t>
  </si>
  <si>
    <t xml:space="preserve">● Methodological
●High-dimensional mass spectrometry analysis </t>
  </si>
  <si>
    <t>Colby, S. M., Chang, C. H., Bade, J. L., Nunez, J. R., Blumer, M. R., Orton, D. J., ... &amp; Metz, T. O. (2022). DEIMoS: an open-source tool for processing high-dimensional mass spectrometry data. Analytical chemistry, 94(16), 6130-6138.</t>
  </si>
  <si>
    <t>DrugOOD</t>
  </si>
  <si>
    <t>DrugOOD: Out-of-Distribution (OOD) Dataset Curator and Benchmark for AI-aided Drug Discovery</t>
  </si>
  <si>
    <t>A benchmark designed to evaluate out-of-distribution (OOD) generalization in AI-aided drug discovery, covering multiple datasets and domain shifts</t>
  </si>
  <si>
    <t>● Comprehensive benchmark with 96 datasets
● Supports multiple OOD generalization algorithms
● Modular and customizable dataset curation</t>
  </si>
  <si>
    <t>● Computationally expensive for large-scale datasets
● Limited performance improvement for advanced OOD methods over ERM</t>
  </si>
  <si>
    <t>Yuanfeng Ji, Lu Zhang, Jiaxiang Wu, Bingzhe Wu, Long-Kai Huang, Tingyang Xu, Yu Rong, Lanqing Li, Jie Ren, Ding Xue, Houtim Lai, Shaoyong Xu, Jing Feng, Wei Liu, Ping Luo, Shuigeng Zhou, Junzhou Huang, Peilin Zhao, Yatao Bian.</t>
  </si>
  <si>
    <t>AAAI Conference on Artificial Intelligence</t>
  </si>
  <si>
    <t>non</t>
  </si>
  <si>
    <t>● Prediction
● Classification
● Regression</t>
  </si>
  <si>
    <t>● Supervised Learning
● Deep Learning (GIN, GCN, GAT, BERT, DANN, IRM, DeepCoral, Mixup)</t>
  </si>
  <si>
    <t>● Molecular graphs (.sdf, .mol)
● SMILES (.smi)
● Bioassay data (ChEMBL, .csv, .tsv)</t>
  </si>
  <si>
    <t>● Predicted molecular activity
● binding affinity values
● OOD classification results</t>
  </si>
  <si>
    <t>● Accuracy
● AUC</t>
  </si>
  <si>
    <t>● Accuracy: 89.05% - 97.04%
● AUC: 67.48% - 94.84%</t>
  </si>
  <si>
    <t>● ChEMBL database
● Curated bioassay datasets</t>
  </si>
  <si>
    <t xml:space="preserve">● Structured (Tabular - .csv, .tsv)
● Unstructured (Molecular Graphs - .sdf, .mol)	</t>
  </si>
  <si>
    <t xml:space="preserve">● Large (Millions of data points)	</t>
  </si>
  <si>
    <t>https://github.com/DrugOOD/drugood.github.io</t>
  </si>
  <si>
    <t xml:space="preserve">● Python-based package
● Compatible with OpenMMLab	</t>
  </si>
  <si>
    <t>● Drug discovery
● OOD generalization
● AI-assisted bioinformatics</t>
  </si>
  <si>
    <t>Ji, Y., Zhang, L., Wu, J., Wu, B., Li, L., Huang, L. K., ... &amp; Bian, Y. (2023, June). Drugood: Out-of-distribution dataset curator and benchmark for ai-aided drug discovery–a focus on affinity prediction problems with noise annotations. In Proceedings of the AAAI Conference on Artificial Intelligence (Vol. 37, No. 7, pp. 8023-8031).</t>
  </si>
  <si>
    <t>El-MAVEN</t>
  </si>
  <si>
    <t>El-MAVEN: A Fast, Robust, and User-Friendly Mass Spectrometry Data Processing Engine for Metabolomics</t>
  </si>
  <si>
    <t>El-MAVEN is an open-source, high-performance software for analyzing large-scale LC-MS and GC-MS metabolomics datasets with improved peak detection, alignment, and quantification</t>
  </si>
  <si>
    <t>● Multiprocessing support for faster data processing
● Automated peak detection and scoring
● Enhanced LC-MS/MS analysis capabilities
● Supports multiple data formats and integration with Polly™ cloud platform</t>
  </si>
  <si>
    <t>● High memory usage for large datasets
● Requires some manual peak curation in certain cases</t>
  </si>
  <si>
    <t>Shubhra Agrawal, Sahil Kumar, Raghav Sehgal, Sabu George, Rishabh Gupta, Surbhi Poddar, Abhishek Jha, Swetabh Pathak</t>
  </si>
  <si>
    <t>Methods in Molecular Biology</t>
  </si>
  <si>
    <t>● Peak Detection
● Alignment
● Quantification
● Isotope Detection</t>
  </si>
  <si>
    <t xml:space="preserve">● Supervised Learning
● Clustering Algorithms (for peak grouping)
● Decision Trees (for automated peak scoring)	</t>
  </si>
  <si>
    <t xml:space="preserve">● Mass spectrometry data (.mzXML, .mzML, .cdf, .mzroll)	</t>
  </si>
  <si>
    <t>● Processed peak tables
● Metabolite quantification results (.csv, .json, .xml, .pdf)</t>
  </si>
  <si>
    <t>● Processing speed
● Peak detection accuracy
● Memory efficiency</t>
  </si>
  <si>
    <t>● 4× faster data processing compared to MAVEN
● Improved peak detection sensitivity</t>
  </si>
  <si>
    <t>● Public metabolomics datasets
● LC-MS and GC-MS experiments</t>
  </si>
  <si>
    <t>● Structured (Tabular - .csv, .json)
● Sequence Data (Mass Spectrometry - .mzXML, .mzML, .cdf, .mzroll)</t>
  </si>
  <si>
    <t>● Large (GB-scale datasets per experiment)</t>
  </si>
  <si>
    <t>https://github.com/ElucidataInc/ElMaven</t>
  </si>
  <si>
    <t>● Standalone software (Windows, Mac, Linux)
● Integrated with Polly™ Cloud Platform</t>
  </si>
  <si>
    <t>● Metabolomics research
● Biomarker discovery
● Clinical diagnostics</t>
  </si>
  <si>
    <t>Agrawal, S., Kumar, S., Sehgal, R., George, S., Gupta, R., Poddar, S., Jha, A., &amp; Pathak, S. (2019). El-MAVEN: A Fast, Robust, and User-Friendly Mass Spectrometry Data Processing Engine for Metabolomics. In D. Raftery (Ed.), Mass Spectrometry in Metabolomics: Methods and Protocols (pp. 301-321). Springer. https://doi.org/10.1007/978-1-4939-9236-2_19</t>
  </si>
  <si>
    <t>FBMN</t>
  </si>
  <si>
    <t>Feature-based molecular networking in the GNPS analysis environment</t>
  </si>
  <si>
    <t>Feature-based molecular networking improves upon classical MN by integrating chromatographic feature detection and ion mobility separation for enhanced metabolite annotation and quantification</t>
  </si>
  <si>
    <t>● Resolves isomers via chromatographic or ion mobility separation
● Enables accurate relative quantification
● Reduces spectral redundancy
● Integrates with multiple feature detection tools
● Supports ion mobility spectrometry (IMS)
● Compatible with statistical analysis tools</t>
  </si>
  <si>
    <t>● Requires preprocessing with external feature detection software
● Limited scalability for very large datasets (&gt;1,000 samples)
● Parameter optimization needed for each tool
● Not optimal for cross-study meta-analysis</t>
  </si>
  <si>
    <t xml:space="preserve">Nothias, L. F., Petras, D., Schmid, R., Dührkop, K., Rainer, J., Sarvepalli, A., Protsyuk, I., Ernst, M., Tsugawa, H., Fleischauer, M., Aicheler, F., Aksenov, A. A., Alka, O., Allard, P. M., Barsch, A., Cachet, X., Caraballo-Rodriguez, A. M., Da Silva, R. R., Dang, T., ... Dorrestein, P. C. </t>
  </si>
  <si>
    <t>Nature Methods</t>
  </si>
  <si>
    <t>● Feature detection and alignment
● Molecular network generation
● Spectral annotation
● Relative quantification
● Isomer resolution
● Ion mobility integration</t>
  </si>
  <si>
    <t xml:space="preserve"> MZmine (feature detection)
● MS-DIAL (feature detection)
● OpenMS (feature detection)
● XCMS (feature detection)
● MetaboScape (feature detection)
● Progenesis QI (feature detection)
● Spectral clustering algorithms
● Cosine similarity scoring</t>
  </si>
  <si>
    <t>● .mzML files (MS data)
● .mzTab-M files (standardized metabolomics format)
● .MGF files (MS² spectra)
● .TXT files (feature quantification tables)</t>
  </si>
  <si>
    <t>● Molecular networks (.graphml)
● Feature quantification tables (.csv)
● Annotated spectral libraries
● .json files (network data)
● .mzTab-M files (standardized results)</t>
  </si>
  <si>
    <t>● Network size
● Annotation accuracy
● Quantification correlation (R² values)</t>
  </si>
  <si>
    <t>● R² &gt;0.7 for relative quantification (FBMN vs &lt;0.5 for classical MN)
● 7 isomers resolved vs 1 consensus spectrum (Euphorbia example)
● 3 commendamide isomers detected vs 1 in classical MN
● Runtime: 5 minutes to several hours (depending on dataset size)</t>
  </si>
  <si>
    <t>● GNPS spectral libraries
● MassIVE repository
● NIST spectral libraries
● LipidBlast
● American Gut Project datasets</t>
  </si>
  <si>
    <t>● Mass spectrometry data (.mzML, .mzXML, .MGF)
● Structured (Tabular - .csv, .txt, .mzTab-M)
● Ion mobility data (collision cross-sections)
● Metabolomics features (peak areas, retention times)</t>
  </si>
  <si>
    <t>● Euphorbia dataset: 14 samples
● American Gut Project: 201 samples
● Plasma dataset: 373 samples
● NIST 1950 serum: 5 dilutions (3 replicates each)
● Large forensic dataset: ~2,000 samples</t>
  </si>
  <si>
    <t xml:space="preserve">
● https://gnps.ucsd.edu/ (FBMN workflow)
● https://github.com/CCMS-UCSD/GNPS_Workflows/ (workflow code)
● MassIVE repository (multiple accessions: MSV000080502, MSV000080186, MSV000084095, MSV000084402, MSV000080030)</t>
  </si>
  <si>
    <t>● https://github.com/CCMS-UCSD/GNPS_Workflows/ (FBMN workflow)
● https://github.com/mzmine/mzmine2/ (MZmine GNPSExport)
● https://github.com/OpenMS/OpenMS (OpenMS GNPSExport)
● https://github.com/jorainer/xcms-gnps-tools/ (XCMS export)</t>
  </si>
  <si>
    <t xml:space="preserve">
● Web-based GNPS platform
● Python (v3.7)
● ProteoSAFe workflow manager
● Jupyter notebooks (analysis scripts)
● Integration with Cytoscape</t>
  </si>
  <si>
    <t>● Metabolomics research
● Methodological
● Natural product analysis</t>
  </si>
  <si>
    <t>Nothias, L. F., Petras, D., Schmid, R., Dührkop, K., Rainer, J., Sarvepalli, A., Protsyuk, I., Ernst, M., Tsugawa, H., Fleischauer, M., Aicheler, F., Aksenov, A. A., Alka, O., Allard, P. M., Barsch, A., Cachet, X., Caraballo-Rodriguez, A. M., Da Silva, R. R., Dang, T., ... Dorrestein, P. C. (2020). Feature-based molecular networking in the GNPS analysis environment. Nature Methods, 17(9), 905-908. https://doi.org/10.1038/s41592-020-0933-6</t>
  </si>
  <si>
    <t>FIORA</t>
  </si>
  <si>
    <t>FIORA: Local neighborhood-based
prediction of compound mass spectra from single fragmentation events</t>
  </si>
  <si>
    <t>Graph neural network predicting MS/MS spectra by modeling bond breaks using local molecular neighborhoods to learn fragmentation patterns and fragment ion probabilities</t>
  </si>
  <si>
    <t>● Superior prediction quality over CFM-ID and ICEBERG
● GPU acceleration enables fast processing
● Predicts multiple MS features (RT, CCS)
● Supports continuous collision energies
● Open-source with MIT license</t>
  </si>
  <si>
    <t>● Single-step fragmentation only
● Limited fragment space coverage
● Does not cleave ring structures
● Performance dependent on peak intensity coverage</t>
  </si>
  <si>
    <t>Journal Article</t>
  </si>
  <si>
    <t xml:space="preserve">Nowatzky, Y., Russo, F. F., Lisec, J., Kister, A., Reinert, K., Muth, T., &amp; Benner, P. </t>
  </si>
  <si>
    <t>● Prediction of MS/MS spectra
● Prediction of retention time
● Prediction of collision cross section
● Bond dissociation prediction</t>
  </si>
  <si>
    <t>● Graph Neural Network (GNN)
● Relational Graph Convolutional Network (RGCN)
● Graph Convolutional Network (GCN)
● Graph Attention Network (GAT)
● Graph Transformer</t>
  </si>
  <si>
    <t>● SMILES strings
● Molecular structures</t>
  </si>
  <si>
    <t>● MS/MS spectra
● Fragment ion annotations
● Retention time values
● Collision cross section values</t>
  </si>
  <si>
    <t>● Cosine similarity
● Cosine similarity without precursor
● Peak intensity coverage
● R² (for RT and CCS)</t>
  </si>
  <si>
    <t>● Cosine similarity: 0.81 (test split positive)
● Cosine similarity: 0.79 (test split negative)
● Cosine similarity: 0.77 (CASMI 16 positive)
● R²: 0.70 (RT prediction)
● R²: 0.93 (CCS prediction)</t>
  </si>
  <si>
    <t>● NIST'17
● MS-DIAL
● MSnLib
● CASMI 2016
● CASMI 2022
● PubChem
● HMDB</t>
  </si>
  <si>
    <t>● MS/MS spectra
● Molecular structures
● Retention time values
● Collision cross section values
● Collision energies
● Ionization modes</t>
  </si>
  <si>
    <t>● 74,401 spectra
● 10,692 compounds (NIST'17 + MS-DIAL)
● 177,390 MS/MS spectra (MSnLib)
● 15,967 unique compounds (MSnLib)</t>
  </si>
  <si>
    <t>● https://doi.org/10.5281/zenodo.14782250
● https://doi.org/10.5281/zenodo.11163381</t>
  </si>
  <si>
    <t>● https://github.com/BAMeScience/fiora
● https://doi.org/10.5281/zenodo.14651773</t>
  </si>
  <si>
    <t xml:space="preserve">
● Python
● PyTorch
● PyTorch Geometric
● GPU acceleration</t>
  </si>
  <si>
    <t>● Metabolite identification
● Compound annotation
● Spectral library expansion
● Non-targeted metabolomics
● Biomarker discovery</t>
  </si>
  <si>
    <t>Nowatzky, Y., Russo, F. F., Lisec, J., Kister, A., Reinert, K., Muth, T., &amp; Benner, P. (2025). FIORA: Local neighborhood-based prediction of compound mass spectra from single fragmentation events. Nature Communications, 16(1), 2298.‏</t>
  </si>
  <si>
    <t>Flow</t>
  </si>
  <si>
    <t>Flow: a web platform and open database to analyse, store, curate and share bioinformatics data at scale</t>
  </si>
  <si>
    <t>Web platform integrating Nextflow pipelines with database for reproducible bioinformatics analysis and open data sharing</t>
  </si>
  <si>
    <t>● User-friendly GUI for non-coders
● Reproducible analysis via containerized Nextflow
● Full analysis history with parameters and logs
● Flexible permissions system (private/public/shared)
● Open database model allowing community contributions</t>
  </si>
  <si>
    <t>● Requires bioinformatics literacy for output interpretation
● Pipelines offer stereotyped analysis only
● Adding new pipelines requires team communication
● Currently supports only 6 species</t>
  </si>
  <si>
    <t>Charlotte Capitanchik, Sam Ireland, Alex Harston, Chris Cheshire, D. Marc Jones, Flora C.Y. Lee, Igor Ruiz de los Mozos, Ira A. Iosub, Klara Kuret, Rupert Faraway, Oscar G. Wilkins, Rahul Arora, Martina Hallegger, Miha Modic, Anob M. Chakrabarti, Nicholas M. Luscombe, Jernej Ule</t>
  </si>
  <si>
    <t xml:space="preserve">
● Demultiplexing
● Quality control
● Sequence alignment
● Data management
● Meta-analysis</t>
  </si>
  <si>
    <t>● Nextflow pipelines (DSL2)
● nf-core pipelines (RNA-Seq, ChIP-Seq, CLIP-Seq)
● Custom pipelines</t>
  </si>
  <si>
    <t>● .FASTQ files (multiplexed or demultiplexed)
● .csv metadata spreadsheets
● .json configuration files</t>
  </si>
  <si>
    <t xml:space="preserve">
● .BAM files (alignments)
● .csv tables
● .html MultiQC reports
● Peaks (MACS2 for ChIP-Seq)
● Count tables (RNA-Seq)</t>
  </si>
  <si>
    <t>● Reproducibility
● Data quality metrics
● Sample correlation</t>
  </si>
  <si>
    <t>● GEO
● ArrayExpress
● ENCODE
● User-uploaded data</t>
  </si>
  <si>
    <t>● Structured (Tabular - .csv, .json)
● Sequence Data (FASTQ, BAM, VCF)</t>
  </si>
  <si>
    <t>https://app.flow.bio/projects/836162021371089781/</t>
  </si>
  <si>
    <t>https://github.com/goodwright/flowbio</t>
  </si>
  <si>
    <t>● Web platform (https://flow.bio)
● Nextflow
● Docker containers</t>
  </si>
  <si>
    <t>● Genomic research
● RNA-Seq analysis
● CLIP-Seq
● ChIP-Seq</t>
  </si>
  <si>
    <t>Capitanchik, C., Ireland, S., Harston, A., Cheshire, C., Jones, D. M., Lee, F. C., ... &amp; Ule, J. (2023). Flow: a web platform and open database to analyse, store, curate and share bioinformatics data at scale. bioRxiv, 2023-08.</t>
  </si>
  <si>
    <t>FLUXestimator</t>
  </si>
  <si>
    <t>FLUXestimator: a webserver for predicting metabolic flux and variations using transcriptomics data</t>
  </si>
  <si>
    <t>Web-based platform for predicting cell-wise or sample-wise metabolic flux and metabolomic changes from transcriptomics data using graph neural networks</t>
  </si>
  <si>
    <t>● Provides a user-friendly web-based interface for metabolic flux estimation
● Integrates curated metabolic networks for multiple species
● Supports multiple input formats and pre-processing options</t>
  </si>
  <si>
    <t>● Requires large transcriptomics datasets for reliable predictions
● Limited support for flux balance constraints</t>
  </si>
  <si>
    <t>Zixuan Zhang, Haiqi Zhu, Pengtao Dang, Jia Wang, Wennan Chang, Xiao Wang, Norah Alghamdi, Alex Lu, Yong Zang, Wenzhuo Wu, Yijie Wang, Yu Zhang, Sha Cao, Chi Zhang</t>
  </si>
  <si>
    <t>Nucleic Acids Research</t>
  </si>
  <si>
    <t>● Flux Estimation
● Metabolomic Change Prediction
● Data Normalization</t>
  </si>
  <si>
    <t>● Unsupervised Learning (Neural Networks, Graph Neural Networks)</t>
  </si>
  <si>
    <t>● .csv files
● .txt files
● Transcriptomics data (scRNA-seq, RNA-seq)</t>
  </si>
  <si>
    <t>● .csv files (flux values)
● .csv files (metabolomic changes)
● .gmt files (module information)</t>
  </si>
  <si>
    <t>● Flux correlation
● Consistency across networks
● Processing time</t>
  </si>
  <si>
    <t>● Running time: 5-10 min (subnetwork)
● Running time: 20-30 min (M171/KEGG network)
● Processing: 1000 samples</t>
  </si>
  <si>
    <t>● Public transcriptomics datasets (NCBI GEO, ROSMAP, Cancer datasets)</t>
  </si>
  <si>
    <t>● Structured (Tabular - .csv, .txt)
● Sequence Data (scRNA-seq, RNA-seq)</t>
  </si>
  <si>
    <t>● Minimum 25 samples (subnetwork)
● Minimum 100 samples (global network)
● Tested with 1000+ samples</t>
  </si>
  <si>
    <t>● https://github.com/changwn/scFEA</t>
  </si>
  <si>
    <t>https://github.com/changwn/scFEA</t>
  </si>
  <si>
    <t>● Python
● Django framework
● PyTorch
● Web server (http://scFLUX.org/)</t>
  </si>
  <si>
    <t>● Metabolic research
● Cancer biology
● Precision medicine</t>
  </si>
  <si>
    <t>Zhang, Z., Zhu, H., Dang, P., Wang, J., Chang, W., Wang, X., ... &amp; Zhang, C. (2023). FLUXestimator: a webserver for predicting metabolic flux and variations using transcriptomics data. Nucleic acids research, 51(W1), W180-W190.</t>
  </si>
  <si>
    <t>FRETBursts</t>
  </si>
  <si>
    <t>FRETBursts: An Open Source Toolkit for Analysis of Freely-Diffusing Single-Molecule FRET</t>
  </si>
  <si>
    <t>Open-source Python toolkit for burst analysis of freely-diffusing single-molecule FRET measurements
● Supports multiple excitation schemes and provides reproducible workflows via Jupyter notebooks
● Implements standard and novel algorithms including time-dependent background estimation and burst weighting</t>
  </si>
  <si>
    <t>● Open-source with comprehensive documentation
● Supports multiple FRET measurement types (μs-ALEX, ns-ALEX, PIE)
● Reproducible analysis via Jupyter notebooks
● Modern software engineering practices (unit testing, continuous integration)
● Modular design enables custom algorithm implementation</t>
  </si>
  <si>
    <t>● Requires Python programming knowledge for advanced customization
● Limited to burst analysis (does not include surface-immobilized experiments)
● Documentation assumes familiarity with smFRET concepts</t>
  </si>
  <si>
    <t>Antonino Ingargiola, Eitan Lerner, SangYoon Chung, Shimon Weiss, Xavier Michalet</t>
  </si>
  <si>
    <t>● Burst detection
● Background estimation
● FRET efficiency calculation
● Histogram fitting
● Burst selection and filtering</t>
  </si>
  <si>
    <t>● Sliding-window burst search
● Dual-channel burst search (DCBS)
● Maximum likelihood estimation (MLE)
● Kernel density estimation (KDE)
● Expectation-maximization (EM)
● Burst variance analysis (BVA)</t>
  </si>
  <si>
    <t>● Photon-HDF5 files
● .sm files (μs-ALEX)
● .spc files (ns-ALEX)
● .ht3 files (via phconvert)</t>
  </si>
  <si>
    <t>● FRET efficiency histograms
● E-S histograms
● Burst data arrays
● Statistical plots (matplotlib formats)</t>
  </si>
  <si>
    <t>● Accuracy of burst detection
● FRET efficiency distribution
● Background correction efficiency</t>
  </si>
  <si>
    <t>● Structured (Tabular - .csv, .json)
● Time-Series Data (Photon-HDF5, .txt)</t>
  </si>
  <si>
    <t>● Example datasets: 56 RAW files, 997 lipid species, 1,050,504 data points
● Typical measurement files: MB to GB range</t>
  </si>
  <si>
    <t>● https://doi.org/10.6084/m9.figshare.3156418.v1
● https://doi.org/10.6084/m9.figshare.1098961.v3
● https://doi.org/10.6084/m9.figshare.1456362.v15</t>
  </si>
  <si>
    <t>https://github.com/tritemio/FRETBursts</t>
  </si>
  <si>
    <t>● Python package
● Jupyter notebooks
● Pre-built packages for Windows, OS X, Linux</t>
  </si>
  <si>
    <t>● Single-molecule FRET data analysis
● Biomolecular conformational dynamics studies
● Protein folding studies
● DNA/RNA structural analysis</t>
  </si>
  <si>
    <t>Ingargiola, A., Lerner, E., Chung, S., Weiss, S., &amp; Michalet, X. (2016). FRETBursts: An Open Source Toolkit for Analysis of Freely-Diffusing Single-Molecule FRET. PLOS ONE, 11(8), e0160716. https://doi.org/10.1371/journal.pone.0160716</t>
  </si>
  <si>
    <t>Galaxy platform</t>
  </si>
  <si>
    <t>The Galaxy platform for accessible, reproducible, and collabor ativ e data analyses: 2024 update</t>
  </si>
  <si>
    <t>Open-source web platform enabling accessible, reproducible, and collaborative scientific data analysis through workflow automation and global infrastructure</t>
  </si>
  <si>
    <t>● Supports GPU integration, tool modularity, collaborative workflows, and FAIR-compliant data sharing
● broad community and cloud-based deployment</t>
  </si>
  <si>
    <t>● Certain tool integrations remain limited by licensing constraints
● complex analyses may require significant customization</t>
  </si>
  <si>
    <t xml:space="preserve">Review Article </t>
  </si>
  <si>
    <t>Gareth Price, Anton Nekrutenko, Björn A. Grüning, Michael C. Schatz</t>
  </si>
  <si>
    <t>● Workflow Automation</t>
  </si>
  <si>
    <t>● Modular Pipelines</t>
  </si>
  <si>
    <t>● .csv files
● .txt files
● .bam files
● .vcf files
● .RAW files
● Various omics data formats</t>
  </si>
  <si>
    <t xml:space="preserve">
● Annotated workflows
● Visualizations
● RO-Crate objects
● BioComputeObjects</t>
  </si>
  <si>
    <t>● GPU tool deployment
● Cloud/HPC usage
● Regional user load distribution</t>
  </si>
  <si>
    <t>● Vertebrate Genome Project, ERGA, NHGRI AnVIL, NCI FireCloud</t>
  </si>
  <si>
    <t>● Genomic
● Proteomic
● Environmental
● Clinical</t>
  </si>
  <si>
    <t>● &gt;500,000 registered users
● &gt;1,000,000 jobs per month
● 51 genome assemblies
● &gt;9000 scientific tools</t>
  </si>
  <si>
    <t>● https://galaxyproject.org</t>
  </si>
  <si>
    <t>● https://galaxyproject.org
● https://toolshed.g2.bx.psu.edu</t>
  </si>
  <si>
    <t>● Python
● Django framework
● Web-based platform
● Docker containers
● Nextflow workflows</t>
  </si>
  <si>
    <t>● Bioinformatics and multi-omics workflows</t>
  </si>
  <si>
    <t>The Galaxy platform for accessible, reproducible, and collaborative data analyses: 2024 update. Nucleic acids research 52, no. W1 (2024): W83-W94.</t>
  </si>
  <si>
    <t>Galaxy-P</t>
  </si>
  <si>
    <t>Using Galaxy-P to leverage RNA-Seq for the discovery of novel protein variations</t>
  </si>
  <si>
    <t>Galaxy-P workflows convert RNA-Seq data into customized proteomic databases containing novel protein variations (SAPs, splice junctions) for improved MS-based protein identification</t>
  </si>
  <si>
    <t xml:space="preserve">
● Enables discovery of novel peptides not in reference databases
● Web-based platform accessible to non-bioinformaticians
● Transparent, shareable, and extensible workflows
● Identifies sample-specific protein variations (SAPs, splice junctions)
● Supports database reduction using transcript abundance</t>
  </si>
  <si>
    <t>● Computationally intensive for large RNA-Seq datasets
● Requires parallel RNA-Seq and proteomics data collection
● Database reduction may exclude highly expressed proteins with low transcript levels</t>
  </si>
  <si>
    <t>Gloria M. Sheynkman, James E. Johnson, Pratik D. Jagtap, Michael R. Shortreed, Getiria Onsongo, Brian L. Frey, Timothy J. Griffin, Lloyd M. Smith</t>
  </si>
  <si>
    <t>BMC Genomics</t>
  </si>
  <si>
    <t>● Database construction (SAP, splice junction, reduced databases)
● Peptide identification
● Variant detection (SNPs, splice junctions)
● Transcript quantification</t>
  </si>
  <si>
    <t>● TopHat (RNA-Seq alignment)
● SAMtools (SNP calling)
● SNPeff (variant annotation)
● RSEM (transcript quantification)
● Percolator (peptide identification)</t>
  </si>
  <si>
    <t>● .FASTQ files (RNA-Seq reads)
● .RAW files (Thermo Orbitrap MS)
● .MGF files (mass spectra)
● Gene models (.GTF)
● Reference genome (.FASTA)</t>
  </si>
  <si>
    <t>● Customized protein databases (.FASTA)
● Identified peptides (.csv tables)
● Annotated novel peptides
● Transcript abundance values (TPM)</t>
  </si>
  <si>
    <t>● Peptide identification rate
● False Discovery Rate (FDR)
● Peptide spectral match (PSM) scores
● SEQUEST XCorr scores</t>
  </si>
  <si>
    <t>● Human: 522 SAP peptides identified
● Human: 67 novel splice junction peptides (1% local FDR)
● Human: 313 additional peptides with reduced database
● Mouse B6: 64 splice junction peptides
● Mouse CAST: 22 SAP peptides, 72 splice junction peptides</t>
  </si>
  <si>
    <t>● Ensembl (gene models, reference proteome)
● cRAP database (MS contaminants)</t>
  </si>
  <si>
    <t>● Structured (Tabular - .csv, .json)
● Sequence Data (FASTQ, BAM, mzML, MGF)</t>
  </si>
  <si>
    <t>● Human: 80M RNA-Seq reads (paired-end, 2×100bp)
● Human: 500K mass spectra
● Human: 6,168 SAP entries (database)
● Human: 33,372 splice junction entries
● Mouse B6: 94M RNA-Seq reads, 250K mass spectra
● Mouse CAST: 126M RNA-Seq reads, 250K mass spectra</t>
  </si>
  <si>
    <r>
      <rPr>
        <sz val="12"/>
        <rFont val="Calibri"/>
        <family val="2"/>
        <scheme val="major"/>
      </rPr>
      <t>● Human MS data:</t>
    </r>
    <r>
      <rPr>
        <u/>
        <sz val="12"/>
        <color theme="10"/>
        <rFont val="Calibri"/>
        <family val="2"/>
        <scheme val="major"/>
      </rPr>
      <t xml:space="preserve"> http://www.peptideatlas.org/PASS/PASS00215
</t>
    </r>
    <r>
      <rPr>
        <sz val="12"/>
        <rFont val="Calibri"/>
        <family val="2"/>
        <scheme val="major"/>
      </rPr>
      <t>● Mouse MS data:</t>
    </r>
    <r>
      <rPr>
        <u/>
        <sz val="12"/>
        <color theme="10"/>
        <rFont val="Calibri"/>
        <family val="2"/>
        <scheme val="major"/>
      </rPr>
      <t xml:space="preserve"> http://www.peptideatlas.org/PASS/PASS00470</t>
    </r>
  </si>
  <si>
    <r>
      <rPr>
        <sz val="12"/>
        <rFont val="Calibri"/>
        <family val="2"/>
        <scheme val="major"/>
      </rPr>
      <t>● SAP workflow:</t>
    </r>
    <r>
      <rPr>
        <u/>
        <sz val="12"/>
        <color theme="10"/>
        <rFont val="Calibri"/>
        <family val="2"/>
        <scheme val="major"/>
      </rPr>
      <t xml:space="preserve"> http://toolshed.g2.bx.psu.edu/view/galaxyp/proteomics_rnaseq_sap_db_workflow
</t>
    </r>
    <r>
      <rPr>
        <sz val="12"/>
        <rFont val="Calibri"/>
        <family val="2"/>
        <scheme val="major"/>
      </rPr>
      <t>● Splice workflow:</t>
    </r>
    <r>
      <rPr>
        <u/>
        <sz val="12"/>
        <color theme="10"/>
        <rFont val="Calibri"/>
        <family val="2"/>
        <scheme val="major"/>
      </rPr>
      <t xml:space="preserve"> http://toolshed.g2.bx.psu.edu/view/galaxyp/proteomics_rnaseq_splice_db_workflow
</t>
    </r>
    <r>
      <rPr>
        <sz val="12"/>
        <rFont val="Calibri"/>
        <family val="2"/>
        <scheme val="major"/>
      </rPr>
      <t>● Reduced database workflow:</t>
    </r>
    <r>
      <rPr>
        <u/>
        <sz val="12"/>
        <color theme="10"/>
        <rFont val="Calibri"/>
        <family val="2"/>
        <scheme val="major"/>
      </rPr>
      <t xml:space="preserve"> http://toolshed.g2.bx.psu.edu/view/galaxyp/proteomics_rnaseq_reduced_db_workflow
</t>
    </r>
    <r>
      <rPr>
        <sz val="12"/>
        <rFont val="Calibri"/>
        <family val="2"/>
        <scheme val="major"/>
      </rPr>
      <t>● Novel peptide filter:</t>
    </r>
    <r>
      <rPr>
        <u/>
        <sz val="12"/>
        <color theme="10"/>
        <rFont val="Calibri"/>
        <family val="2"/>
        <scheme val="major"/>
      </rPr>
      <t xml:space="preserve"> http://toolshed.g2.bx.psu.edu/view/galaxyp/proteomics_novel_peptide_filter_workflow</t>
    </r>
  </si>
  <si>
    <t>● Galaxy-P web platform (usegalaxyp.org)
● Galaxy Toolshed workflows</t>
  </si>
  <si>
    <t>● Novel peptide discovery
● Proteogenomics research
● Sample-specific protein variant identification
● RNA-protein correlation studies
● Personalized medicine</t>
  </si>
  <si>
    <t>Sheynkman, G. M., Johnson, J. E., Jagtap, P. D., Shortreed, M. R., Onsongo, G., Frey, B. L., Griffin, T. J., &amp; Smith, L. M. (2015). Using Galaxy-P to leverage RNA-Seq for the discovery of novel protein variations. BMC Genomics, 16(Suppl 11), S2. https://doi.org/10.1186/1471-2164-16-S11-S2</t>
  </si>
  <si>
    <t xml:space="preserve">GenePattern Notebook </t>
  </si>
  <si>
    <t>An Accessible, Interactive GenePattern Notebook for Analysis and Exploration of Single-Cell Transcriptomic Data</t>
  </si>
  <si>
    <t>Interactive web-based notebook environment for single-cell RNA-seq analysis
● Integrates GenePattern platform with Jupyter Notebook
● No programming required for preprocessing, clustering, and visualization
● Built on Scanpy Python package following Seurat workflow</t>
  </si>
  <si>
    <t>● No programming expertise required
● Interactive GUI interface with sliders and visualizations
● Follows established Seurat PBMC tutorial workflow
● Supports multiple input formats
● Freely available on public server</t>
  </si>
  <si>
    <t>● Limited to preprocessing and clustering analysis
● No doublet detection implemented
● Memory limitations on public server for large datasets
● Requires specific gene naming convention for mitochondrial genes</t>
  </si>
  <si>
    <t>Clarence K. Mah, Alexander T. Wenzel, Edwin F. Juarez, Thorin Tabor, Michael M. Reich, Jill P. Mesirov</t>
  </si>
  <si>
    <t>● Quality control and filtering
● Normalization and scaling
● Dimensionality reduction
● Clustering
● Differential expression analysis
● Visualization</t>
  </si>
  <si>
    <t>● Principal Component Analysis (PCA)
● Louvain clustering
● t-distributed Stochastic Neighbor Embedding (t-SNE)
● Wilcoxon Rank-Sum test
● Log normalization</t>
  </si>
  <si>
    <t>● .csv files
● .tsv files
● .txt files
● 10X Genomics format (matrix, genes, barcodes)
● .zip files
● .h5ad files</t>
  </si>
  <si>
    <t>● .csv files
● .h5ad files
● Interactive plots
● Cluster assignments
● Differential expression results</t>
  </si>
  <si>
    <t xml:space="preserve">● Not Available </t>
  </si>
  <si>
    <t>● 10X Genomics public datasets</t>
  </si>
  <si>
    <t>● Structured (CSV, H5AD)
● Text (Gene annotations)</t>
  </si>
  <si>
    <t>● 2,700 cells (PBMC example dataset)</t>
  </si>
  <si>
    <t>● https://support.10xgenomics.com/single-cell-gene-expression/datasets/1.1.0/pbmc3k</t>
  </si>
  <si>
    <t>● https://github.com/genepattern/single_cell_clustering_notebook
● https://hub.docker.com/r/genepattern/genepattern-notebook
● https://pypi.org/project/genepattern-notebook
● https://anaconda.org/genepattern/genepattern-notebook</t>
  </si>
  <si>
    <t xml:space="preserve">
● Jupyter Notebook
● JupyterHub server
● Python
● Docker container
● pip package
● conda package</t>
  </si>
  <si>
    <t>● Single-cell transcriptomics analysis
● Identifying cellular subpopulations</t>
  </si>
  <si>
    <t>Mah, C. K., Wenzel, A. T., Juarez, E. F., Tabor, T., Reich, M. M., &amp; Mesirov, J. P. (2019). An accessible, interactive GenePattern Notebook for analysis and exploration of single-cell transcriptomic data. F1000Research, 7, 1306. https://doi.org/10.12688/f1000research.15830.2</t>
  </si>
  <si>
    <t>GNPS Dashboard</t>
  </si>
  <si>
    <t>GNPS Dashboard: collaborative exploration of mass spectrometry data in the web browser</t>
  </si>
  <si>
    <t>A web-based tool that enables real-time, collaborative exploration of mass spectrometry (MS) data, similar to Google Docs for text editing</t>
  </si>
  <si>
    <t>● Real-time collaborative data exploration
● Leader-follower and fully collaborative synchronization modes
● Integration with multiple public MS repositories
● Supports private and public data
● Reproducible analysis via shareable URLs and QR codes
● No software installation required
● Publication-quality figures</t>
  </si>
  <si>
    <t>● Requires internet connectivity for collaboration
● Web-based limitations compared to local software
● Limited to visualization and exploration tools</t>
  </si>
  <si>
    <t>Daniel Petras, Vanessa V. Phelan, Deepa Acharya, Andrew E. Allen, Allegra T. Aron, Nuno Bandeira, Benjamin P. Bowen, Deirdre Belle-Oudry, Simon Boecker, Dale A. Cummings Jr., Jessica M. Deutsch, Eoin Fahy, Neha Garg, Rachel Gregor, Jo Handelsman, Mirtha Navarro-Hoyos, Alan K. Jarmusch, Scott A. Jarmusch, Katherine Louie, Katherine N. Maloney, Michael T. Marty, Michael M. Meijler, Itzhak Mizrahi, Rachel L. Neve, Trent R. Northen, Carlos Molina-Santiago, Morgan Panitchpakdi, Benjamin Pullman, Aaron W. Puri, Robin Schmid, Shankar Subramaniam, Monica Thukral, Felipe Vasquez-Castro, Pieter C. Dorrestein, Mingxun Wang</t>
  </si>
  <si>
    <t>● Data visualization
● Chromatogram inspection
● Spectrum visualization
● Quantitative comparison
● Data exploration
● Collaborative analysis</t>
  </si>
  <si>
    <t>● Interactive web-based visualization
● Real-time synchronization</t>
  </si>
  <si>
    <t>● .mzXML files
● .mzML files
● .CDF files
● Vendor raw formats</t>
  </si>
  <si>
    <t>● Interactive visualizations
● Total ion chromatograms
● Retention time vs m/z heat maps
● Extracted ion chromatograms
● Tandem mass spectra
● Boxplots
● Publication-quality figures
● Shareable URLs
● QR codes</t>
  </si>
  <si>
    <t>● GNPS/MassIVE
● MetaboLights
● ProteomeXchange/PRIDE
● Metabolomics Workbench</t>
  </si>
  <si>
    <t>● Structured (MS files: .mzXML, .mzML, CDF, raw)</t>
  </si>
  <si>
    <t>https://gnps-explorer.ucsd.edu/?dataset_accession=MSV000086206&amp;metadata_source=DEFAULT&amp;metadata_option=f.MSV000086206%2Fmetadata%2Fmetadata.txt</t>
  </si>
  <si>
    <t>● https://github.com/mwang87/GNPS_LCMSDashboard
● https://github.com/mwang87/GNPS_DatasetExplorer</t>
  </si>
  <si>
    <t>● Web-based application
● Locally installable for private deployment</t>
  </si>
  <si>
    <t>● Collaborative research
● Peer review
● Classroom teaching​</t>
  </si>
  <si>
    <r>
      <t xml:space="preserve">Petras, D., Phelan, V. V., Acharya, D., Allen, A. E., Aron, A. T., Bandeira, N., Bowen, B. P., Belle-Oudry, D., Boecker, S., Cummings Jr., D. A., Deutsch, J. M., Fahy, E., Garg, N., Gregor, R., Handelsman, J., Navarro-Hoyos, M., Jarmusch, A. K., Jarmusch, S. A., Louie, K., ... Wang, M. (2021). GNPS Dashboard: collaborative exploration of mass spectrometry data in the web browser. </t>
    </r>
    <r>
      <rPr>
        <i/>
        <sz val="12"/>
        <color rgb="FF000000"/>
        <rFont val="Calibri"/>
        <family val="2"/>
        <scheme val="major"/>
      </rPr>
      <t>Nature Methods</t>
    </r>
    <r>
      <rPr>
        <sz val="12"/>
        <color rgb="FF000000"/>
        <rFont val="Calibri"/>
        <family val="2"/>
        <scheme val="major"/>
      </rPr>
      <t>, 18(12), 1407-1409.</t>
    </r>
  </si>
  <si>
    <t>GVL</t>
  </si>
  <si>
    <t>Genomics Virtual Laboratory: A Practical Bioinformatics Workbench for the Cloud</t>
  </si>
  <si>
    <t>Cloud-based genomics workbench providing accessible, scalable, reproducible bioinformatics analysis through pre-configured tools and reference datasets</t>
  </si>
  <si>
    <t>● Reduces processing time by 80% compared to manual workflows
● Highly accessible through web-based interfaces
● User-controlled scalable compute resources
● Pre-populated with bioinformatics tools and reference datasets
● Supports multiple analysis interfaces (Galaxy, RStudio, IPython Notebook, command-line)</t>
  </si>
  <si>
    <t>● Requires cloud infrastructure access
● Data transfer can be challenging for large datasets
● Dependent on cloud service availability
● Learning curve for new users despite simplified interfaces</t>
  </si>
  <si>
    <t>Enis Afgan, Clare Sloggett, Nuwan Goonasekera, Igor Makunin, Derek Benson, Mark Crowe, Simon Gladman, Yousef Kowsar, Michael Pheasant, Ron Horst, Andrew Lonie</t>
  </si>
  <si>
    <t>● Workflow automation
● Data analysis
● Visualization
● Cluster management</t>
  </si>
  <si>
    <t>● CloudMan (cluster management)
● Galaxy (workflow platform)
● Slurm (job scheduler)
● Ansible (automated deployment)
● GlusterFS (distributed file system)</t>
  </si>
  <si>
    <t>● .FASTQ files
● .BAM files
● Reference genome data
● Configuration files</t>
  </si>
  <si>
    <t>● Processed genomic datasets
● Galaxy workflows
● Analysis reports
● Visualizations</t>
  </si>
  <si>
    <t>● Processing time reduction
● Number of user intervention steps
● Scalability
● Availability</t>
  </si>
  <si>
    <t xml:space="preserve">
● Processing time reduced from 3h to &lt;1.5h (&gt;80% reduction)
● User steps reduced from 35 to 5
● High availability through cloud infrastructure</t>
  </si>
  <si>
    <t>● Reference genome databases (pre-populated)
● UCSC Genome Browser
● Shared reference datasets via GlusterFS</t>
  </si>
  <si>
    <t>● High-throughput sequencing data
● Reference genomes
● Genomic annotations
● Workflow specifications</t>
  </si>
  <si>
    <t>● https://genome.edu.au
● http://nectar.org.au/research-cloud</t>
  </si>
  <si>
    <t>● https://bitbucket.org/gvl
● https://bitbucket.org/gvl/gvl-image-playbook</t>
  </si>
  <si>
    <t xml:space="preserve"> CloudMan
● Ansible
● Slurm</t>
  </si>
  <si>
    <t>● Genomics research
● Bioinformatics training
● RNA-seq analysis
● Large-scale genome analysis</t>
  </si>
  <si>
    <r>
      <t xml:space="preserve">Afgan, E., Sloggett, C., Goonasekera, N., Makunin, I., Benson, D., Crowe, M., Gladman, S., Kowsar, Y., Pheasant, M., Horst, R., &amp; Lonie, A. (2015). Genomics Virtual Laboratory: A Practical Bioinformatics Workbench for the Cloud. </t>
    </r>
    <r>
      <rPr>
        <i/>
        <sz val="12"/>
        <color rgb="FF000000"/>
        <rFont val="Calibri"/>
        <family val="2"/>
        <scheme val="major"/>
      </rPr>
      <t>PLOS ONE</t>
    </r>
    <r>
      <rPr>
        <sz val="12"/>
        <color rgb="FF000000"/>
        <rFont val="Calibri"/>
        <family val="2"/>
        <scheme val="major"/>
      </rPr>
      <t>, 10(10), e0140829.</t>
    </r>
  </si>
  <si>
    <t>ipaPy2</t>
  </si>
  <si>
    <t>ipaPy2: Integrated Probabilistic Annotation (IPA) 2.0—an improved Bayesian-based method for the annotation of LC-MS/MS untargeted metabolomics data</t>
  </si>
  <si>
    <t>ipaPy2 is a Python-based annotation tool for LC-MS untargeted metabolomics, integrating Bayesian methods for more accurate metabolite identification by incorporating tandem MS fragmentation data</t>
  </si>
  <si>
    <t>● Integrates MS2 fragmentation data for improved accuracy
● Isotope patterns treated as fingerprints reducing computation time
● User-friendly Python implementation
● Integrated with mzMatch pipeline and PeakMLViewerPy
● Provides statistically rigorous probability estimates</t>
  </si>
  <si>
    <t>● Accuracy depends on database completeness
● Requires careful database updates to avoid biases
● Requires LC-MS data preprocessing
● Database must adhere to specific format</t>
  </si>
  <si>
    <t>Francesco Del Carratore, William Eagles, Juraj Borka, Rainer Breitling</t>
  </si>
  <si>
    <t>● Metabolite annotation
● Classification
● Probability estimation</t>
  </si>
  <si>
    <t>● Bayesian inference
● Gibbs sampler
● Cosine similarity (for MS2 spectra)
● Isotope pattern scoring</t>
  </si>
  <si>
    <t xml:space="preserve">
● .peakml files</t>
  </si>
  <si>
    <t>● Accuracy of annotation 
● Computational efficiency</t>
  </si>
  <si>
    <t xml:space="preserve">● KEGG Database 
● Natural Product Atlas 
● MoNa Database	</t>
  </si>
  <si>
    <t>● LC-MS/MS metabolomics data
● MS2 fragmentation spectra
● Isotope patterns
● Retention time data</t>
  </si>
  <si>
    <t>https://github.com/francescodc87/ipaPy2/blob/main/README.md</t>
  </si>
  <si>
    <t>https://github.com/francescodc87/ipaPy2</t>
  </si>
  <si>
    <t>● Python package
● Jupyter Notebooks</t>
  </si>
  <si>
    <t>● Metabolomics research
● Biomarker discovery
● LC-MS annotation</t>
  </si>
  <si>
    <r>
      <t xml:space="preserve">Del Carratore, F., Eagles, W., Borka, J., &amp; Breitling, R. (2023). ipaPy2: Integrated Probabilistic Annotation (IPA) 2.0—an improved Bayesian-based method for the annotation of LC-MS/MS untargeted metabolomics data. </t>
    </r>
    <r>
      <rPr>
        <i/>
        <sz val="12"/>
        <color rgb="FF000000"/>
        <rFont val="Calibri"/>
        <family val="2"/>
        <scheme val="major"/>
      </rPr>
      <t>Bioinformatics</t>
    </r>
    <r>
      <rPr>
        <sz val="12"/>
        <color rgb="FF000000"/>
        <rFont val="Calibri"/>
        <family val="2"/>
        <scheme val="major"/>
      </rPr>
      <t>, btad454.</t>
    </r>
  </si>
  <si>
    <t>LIPEA</t>
  </si>
  <si>
    <t>LIPEA: Lipid Pathway Enrichment Analysis</t>
  </si>
  <si>
    <t>LIPEA is a web-based tool for lipid pathway enrichment analysis, identifying biological pathways associated with lipid signatures using over-representation analysis (ORA)</t>
  </si>
  <si>
    <t>● User-friendly web interface
● No programming knowledge required
● Responsive design (accessible from any device)
● Supports multiple lipid databases (KEGG, Swiss Lipids, Lipid Maps, ChEBI, HMDB)
● Automatic ID mapping across databases</t>
  </si>
  <si>
    <t>● Currently limited to lipid class level analysis
● Cannot perform species or sub-species level analysis
● Dependent on KEGG pathway annotations
● Requires lipid IDs in supported database formats</t>
  </si>
  <si>
    <t>Aldo Acevedo, Claudio Duran, Simone Ciucci, Massimo Gerl, Carlo V. Cannistraci</t>
  </si>
  <si>
    <t>● Pathway enrichment analysis
● Over-representation analysis (ORA)</t>
  </si>
  <si>
    <t>● Fisher exact test
● Hypergeometric distribution
● Benjamini-Hochberg correction
● Bonferroni-Holm correction</t>
  </si>
  <si>
    <t>● p-value
● Benjamini correction
● Bonferroni-Holm correction</t>
  </si>
  <si>
    <t>● KEGG Database
● Swiss Lipids
● Lipid Maps
● ChEBI
● HMDB</t>
  </si>
  <si>
    <t>● Lipid identifiers
● Pathway annotations</t>
  </si>
  <si>
    <t>https://hyperlipea.org/home</t>
  </si>
  <si>
    <t>● Web platform (Symfony Framework)
● Python scripts
● MySQL database
● Bootstrap, jQuery</t>
  </si>
  <si>
    <t>● Lipidomics research
● Metabolic disease investigation
● Biomarker discovery
● Personalized medicine</t>
  </si>
  <si>
    <t>Acevedo, A., Durán, C., Ciucci, S., Gerl, M., &amp; Cannistraci, C. V. (2018). LIPEA: lipid pathway enrichment analysis. BioRxiv, 274969.</t>
  </si>
  <si>
    <t>LIPID MAPS</t>
  </si>
  <si>
    <t>LIPID MAPS: update to databases and tools for the lipidomics community</t>
  </si>
  <si>
    <t xml:space="preserve">LIPID MAPS is a comprehensive lipidomics database, offering Standardised lipid classification, cheminformatics tools, and biochemical pathway annotations.	</t>
  </si>
  <si>
    <t>● Comprehensive lipid database (&gt;48,000 structures)
● Accepted community standard for classification
● ELIXIR-UK data resource
● Programmatic access (REST API, SPARQL)
● Integration with external databases (WikiPathways, Reactome, Rhea)</t>
  </si>
  <si>
    <t>● Ongoing updates to lipid classifications
● Back-population of taxonomy data incomplete (~18,000/48,000 entries)
● Requires external MS data for full structural characterization</t>
  </si>
  <si>
    <t>Maureen Conroy, Edward Dennis, Eoin Fahy, Caroline Gaud, William Griffiths, Geoff Jukes, Maksim Kolchin, Karla Mendivelso, Andrea Lopez-Clavijo, Caroline Ready, Shankar Subramaniam, Valerie O'Donnell</t>
  </si>
  <si>
    <t>● Database management
● Lipid structure cataloging
● Biochemical pathway mapping
● Mass-based searching
● Data integration</t>
  </si>
  <si>
    <t>● Manual curation
● Cheminformatics (Bingo cartridge)
● Relational database (PostgreSQL)
● UniChem mapping
● REST API and SPARQL endpoints</t>
  </si>
  <si>
    <t xml:space="preserve">
● Molfile format
● SMILES
● InChI
● InChIKey
● m/z values
● Lipid names</t>
  </si>
  <si>
    <t>● Molfile format
● SMILES
● InChI
● .tsv files
● Pathway visualizations
● Database entries</t>
  </si>
  <si>
    <t>● Database size
● User engagement
● Training reach</t>
  </si>
  <si>
    <t>● &gt;48,000 lipid structures in LMSD
● &gt;1.1 million structures in LMISSD
● &gt;60,000 species-level lipids in COMP_DB
● 2,700 webinar viewers
● 485 trained researchers
● 4,800 hours YouTube content viewed</t>
  </si>
  <si>
    <t xml:space="preserve"> WikiPathways
● Rhea
● Reactome
● ChEBI
● PubChem
● UniChem
● KEGG
● NCBI Taxonomy
● Protein Data Bank Europe
● EuropePMC
● Metabolomics Workbench</t>
  </si>
  <si>
    <t>● Lipid chemical structures
● Biochemical reactions
● Taxonomy annotations
● Literature provenance
● Collisional cross-section values
● Pathway diagrams</t>
  </si>
  <si>
    <t>● 48,000 lipid structures (LMSD)
● 1,100,000 structures (LMISSD)
● 60,000 species-level lipids (COMP_DB)
● 18,000 entries with taxonomy data
● 9,500 lipids with sugar groups</t>
  </si>
  <si>
    <t>https://www.lipidmaps.org/</t>
  </si>
  <si>
    <t>● Web-based platform
● PostgreSQL database
● Laravel PHP framework
● Bingo chemistry cartridge
● REST API
● SPARQL endpoint
● Ketcher (JavaScript-based structure editor)</t>
  </si>
  <si>
    <t>● Lipidomics research
● Mass spectrometry data analysis
● Biochemical pathway analysis
● Lipid identification
● Cheminformatics
● Educational training</t>
  </si>
  <si>
    <t>Conroy, M., Dennis, E., Fahy, E., Gaud, C., Griffiths, W., Jukes, G., Kolchin, M., Mendivelso, K., Lopez-Clavijo, A., Ready, C., Subramaniam, S., &amp; O'Donnell, V. (2024). LIPID MAPS: update to databases and tools for the lipidomics community. Nucleic Acids Research. [Advance online publication]</t>
  </si>
  <si>
    <t>LipidCreator</t>
  </si>
  <si>
    <t>LipidCreator workbench to probe the lipidomic landscape</t>
  </si>
  <si>
    <t>LipidCreator is a targeted lipidomics software for generating MS/MS spectral libraries, optimizing collision energy, and enabling in-silico lipidomics assay design</t>
  </si>
  <si>
    <t>● User-friendly GUI and command-line interface
● Supports over 60 lipid classes
● Collision energy optimization for different MS platforms
● Stable isotope labeling support
● Integration with Skyline</t>
  </si>
  <si>
    <t>● Requires lipid standards for CE model training
● Limited to lipid class level (not species/sub-species)
● Cannot handle stereoisomers
● Dependent on LIPID MAPS nomenclature</t>
  </si>
  <si>
    <t>Bing Peng, Dominik Kopczynski, Brian S. Pratt, Christer S. Ejsing, Berwyck L. J. Poad, Stephen J. Blanksby, Zhixu Ni, Jiyan Su, Manuela Hein, Martin Hermansson, Peter Imre Benke, Sock Hwee Tan, Mark Y. Chan, Federico Torta, Dominik Schwudke, Sven W. Meckelmann, Cristina Coman, Oliver J. Schmitz, Brendan MacLean, Mailin-Christin Manke, Oliver Borst, Markus R. Wenk, Nils Hoffmann, Robert Ahrends</t>
  </si>
  <si>
    <t>● Fragment mass calculation
● Collision energy optimization
● Spectral library generation
● Transition list generation</t>
  </si>
  <si>
    <t>● Nonlinear regression (log-normal kernel)
● Grid search optimization
● Target-decoy FDR calculation
● Lipid fragmentation rules</t>
  </si>
  <si>
    <t>● Lipid names (LIPID MAPS nomenclature)
● .mzML files
● .RAW files</t>
  </si>
  <si>
    <t>● Transition lists
● .blib spectral libraries
● Skyline documents</t>
  </si>
  <si>
    <t>● Collision energy prediction accuracy
● Fragment intensity prediction
● False discovery rate (FDR)
● Lipid identification accuracy</t>
  </si>
  <si>
    <t>● 98% accuracy (target-decoy validation)
● 60,000 transition pairs per second
● R² = 0.99 (calibration curves)</t>
  </si>
  <si>
    <t>● LIPID MAPS
● Lipidomics Standards Initiative
● NIST SRM 1950</t>
  </si>
  <si>
    <t>● LC/MS lipidomics data
● Lipid molecular structures
● MS/MS spectra</t>
  </si>
  <si>
    <t>● 136 lipid standards
● 433 lipids (human plasma)
● 21 human subjects
● 5 platelet samples</t>
  </si>
  <si>
    <r>
      <t xml:space="preserve">● https://panoramaweb.org/lipidcreator.url
</t>
    </r>
    <r>
      <rPr>
        <sz val="12"/>
        <rFont val="Calibri"/>
        <family val="2"/>
        <scheme val="major"/>
      </rPr>
      <t>● MetaboLights:</t>
    </r>
    <r>
      <rPr>
        <u/>
        <sz val="12"/>
        <color theme="10"/>
        <rFont val="Calibri"/>
        <family val="2"/>
        <scheme val="major"/>
      </rPr>
      <t xml:space="preserve"> </t>
    </r>
    <r>
      <rPr>
        <sz val="12"/>
        <rFont val="Calibri"/>
        <family val="2"/>
        <scheme val="major"/>
      </rPr>
      <t>MTBLS1376, MTBLS1375, MTBLS1369, MTBLS1381, MTBLS1382, MTBLS1333, MTBLS1334
● MassBank: ISAS_Dortmund</t>
    </r>
  </si>
  <si>
    <t>● https://github.com/lifs-tools/LipidCreator
● https://github.com/lifs-tools/flipr
● https://doi.org/10.5281/zenodo.3529484</t>
  </si>
  <si>
    <t>● C# programming language
● Skyline plugin
● Command-line interface
● GUI application</t>
  </si>
  <si>
    <t>● Targeted lipidomics assay development
● Biomarker discovery
● Lipid signaling pathway analysis
● Clinical lipidomics</t>
  </si>
  <si>
    <t>Peng, B., Kopczynski, D., Pratt, B. S., Ejsing, C. S., Poad, B. L. J., Blanksby, S. J., ... &amp; Ahrends, R. (2020). LipidCreator workbench to probe the lipidomic landscape. Nature Communications, 11(1), 1-9.</t>
  </si>
  <si>
    <t>LipidFinder</t>
  </si>
  <si>
    <t>LipidFinder 2.0: advanced informatics pipeline for lipidomics discovery applications</t>
  </si>
  <si>
    <t>LipidFinder 2.0 enhances lipidomics data analysis by integrating novel filtering methods, statistical tools, and database searches to improve lipid identification.</t>
  </si>
  <si>
    <t>● Novel FDR method using target-decoy strategy
● Enhanced isotope deletion method
● User-friendly configuration interface
● Integration with XCMS Online via API
● Supports multiple pre-processing tool outputs</t>
  </si>
  <si>
    <t>● Requires external pre-processing tools
● Output datasets still contain some artefacts
● Returns bulk lipid structures only (not fully annotated)
● Dependent on LIPID MAPS database coverage</t>
  </si>
  <si>
    <t>Jorge Alvarez-Jarreta, Patricia R. S. Rodrigues, Eoin Fahy, Anne O'Connor, Anna Price, Caroline Gaud, Simon Andrews, Paul Benton, Gary Siuzdak, Jade I. Hawksworth, Maria Valdivia-Garcia, Stuart M. Allen, Valerie B. O'Donnell</t>
  </si>
  <si>
    <t>● Artefact filtering
● Isotope detection and removal
● Lipid identification
● Data quality assessment (FDR)</t>
  </si>
  <si>
    <t>● Artefact filters (contaminants, adducts, in-source fragments)
● Isotope annotation algorithm
● Salt cluster detection
● Target-decoy FDR calculation
● Database searching (LIPID MAPS)</t>
  </si>
  <si>
    <t>● .CSV files
● .XLS files
● .XLSX files</t>
  </si>
  <si>
    <t>● .CSV files
● .XLS files
● .XLSX files
● Scatter plots</t>
  </si>
  <si>
    <t>● False discovery rate (FDR)
● Artefact removal efficiency
● Lipid retention rate</t>
  </si>
  <si>
    <t>● LIPID MAPS 
● XCMS Online 
● Experimental lipidomics datasets</t>
  </si>
  <si>
    <t>● LC/MS lipidomics data
● Peak lists
● Feature intensities</t>
  </si>
  <si>
    <t>https://academic.oup.com/bioinformatics/article/37/10/1478/5919072?login=true#supplementary-data</t>
  </si>
  <si>
    <t>https://github.com/ODonnell-Lipidomics/LipidFinder</t>
  </si>
  <si>
    <t>● Python (versions 2.7 and 3.3+)
● API interface with XCMS Online
● JSON configuration files</t>
  </si>
  <si>
    <t>● Lipidomics discovery
● Metabolomics data analysis
● Biomarker identification
● LC/MS data processing</t>
  </si>
  <si>
    <t>Alvarez-Jarreta, J., Rodrigues, P. R. S., Fahy, E., O'Connor, A., Price, A., Gaud, C., ... &amp; O'Donnell, V. B. (2020). LipidFinder 2.0: advanced informatics pipeline for lipidomics discovery applications. Bioinformatics, 36(22-23), 5382-5383.</t>
  </si>
  <si>
    <t>LipidLynxX</t>
  </si>
  <si>
    <t>LipidLynxX: a data transfer hub to support integration of large scale lipidomics datasets</t>
  </si>
  <si>
    <t>LipidLynxX is a web-based tool that provides Standardised format conversion for lipidomics data, ensuring compatibility between different lipidomics databases and analysis tools</t>
  </si>
  <si>
    <t>● Supports 26 input sources (17 software tools, 5 databases, common abbreviations)
● Open-source with customizable JSON configuration files
● Three access modes (GUI, API, command-line)
● Handles modified lipids (oxidized, nitrated, halogenated)
● Cross-platform compatibility</t>
  </si>
  <si>
    <t>● Limited to mammalian lipids (25 classes, 5 categories)
● No statistical analysis or visualization features
● ChEBI matching available for only 37% of test dataset</t>
  </si>
  <si>
    <t>Pre-print Paper</t>
  </si>
  <si>
    <t>Zhixu Ni, Maria Fedorova</t>
  </si>
  <si>
    <t>● Lipid annotation conversion
● Cross-level structural matching
● Database identifier linking</t>
  </si>
  <si>
    <t>● Rule-based parsing with regular expressions
● JSON configuration framework
● Controlled vocabulary matching</t>
  </si>
  <si>
    <t>● .xlsx files
● .csv files
● Lipid annotations (text)</t>
  </si>
  <si>
    <t>● .xlsx files
● .csv files
● .json files
● Text format</t>
  </si>
  <si>
    <t>● Conversion accuracy
● Processing speed
● Database matching rate</t>
  </si>
  <si>
    <t>● 131 lipids: 100% conversion to shorthand notation
● 131 lipids: 100% conversion to LipidLynxX notation
● ChEBI matching: 49 lipids (37%)
● KEGG matching: 130 lipids (99%)
● Rhea matching: 125 lipids to 249 IDs
● LION matching: 98 lipids (75%)</t>
  </si>
  <si>
    <t>● LIPID MAPS 
● HMDB 
● SwissLipids</t>
  </si>
  <si>
    <t>● Lipid annotations
● Database identifiers
● Configuration files (JSON)</t>
  </si>
  <si>
    <t>● 131 test lipids
● 25 lipid classes
● 26 input sources supported
● 17 identification software
● 5 databases</t>
  </si>
  <si>
    <t>https://mybinder.org/v2/gh/SysMedOs/LipidLynxX/master?filepath=converter_notebook.ipynb</t>
  </si>
  <si>
    <t>● https://github.com/SysMedOs/LipidLynxX</t>
  </si>
  <si>
    <t>● Python 3.7
● FastAPI
● Typer
● Web-based GUI</t>
  </si>
  <si>
    <t>● Lipidomics data standardization
● Database integration
● Pathway mapping
● Ontology enrichment analysis
● Network analysis</t>
  </si>
  <si>
    <t>Ni, Z., &amp; Fedorova, M. (2020). LipidLynxX: a data transfer hub to support integration of large scale lipidomics datasets. bioRxiv. https://doi.org/10.1101/2020.04.09.033894</t>
  </si>
  <si>
    <t>LipidSuite</t>
  </si>
  <si>
    <t>LipidSuite: interactive web server for lipidomics differential and enrichment analysis</t>
  </si>
  <si>
    <t>LipidSuite is a web-based tool that provides an end-to-end solution for differential lipidomics analysis, data preprocessing, enrichment analysis, and visualization of lipidomics datasets</t>
  </si>
  <si>
    <t>● User-friendly web interface requiring no coding skills
● Interactive data exploration and subsetting
● Multiple imputation methods (QRILC, KNN, SVD)
● Confounding variable adjustment capability
● Downloadable plots and data tables</t>
  </si>
  <si>
    <t>● Requires pre-annotated lipidomics data
● Limited to three input formats (mwTab, Skyline CSV, numerical matrix)</t>
  </si>
  <si>
    <t>Ahmed Mohamed, Michelle M. Hill</t>
  </si>
  <si>
    <t>● Differential expression analysis
● Enrichment analysis
● Data quality control
● Clustering</t>
  </si>
  <si>
    <t>● Moderated t-test
● ANOVA
● PCA
● OPLS-DA
● Probabilistic Quotient Normalization
● Hierarchical clustering</t>
  </si>
  <si>
    <t>● .mwTab files (Metabolomics Workbench)
● .csv files (Skyline Export)
● Numerical matrix files
● Sample annotation files (.csv)</t>
  </si>
  <si>
    <t>● Interactive plots
● Static plots (downloadable)
● .csv files
● .xlsx files
● Heatmaps</t>
  </si>
  <si>
    <t>● Log2-fold change
● Adjusted P-values
● Enrichment scores
● Clustering quality</t>
  </si>
  <si>
    <t>● Metabolomics Workbench</t>
  </si>
  <si>
    <t>● Lipidomics measurements (targeted and untargeted)
● Sample annotations</t>
  </si>
  <si>
    <t>● Variable (based on dataset size)</t>
  </si>
  <si>
    <t>● http://suite.lipidr.org</t>
  </si>
  <si>
    <t>● R package (lipidr)
● Web-based interface</t>
  </si>
  <si>
    <t>● Differential lipidomics analysis
● Biomarker discovery
● Clinical cohort analysis
● Lipid class enrichment analysis
● Chain length trend analysis</t>
  </si>
  <si>
    <t>Mohamed, A., &amp; Hill, M. M. (2021). LipidSuite: interactive web server for lipidomics differential and enrichment analysis. Nucleic Acids Research, 49(W1), W336-W342. https://doi.org/10.1093/nar/gkab322</t>
  </si>
  <si>
    <t>localpdb</t>
  </si>
  <si>
    <t>localpdb-a Python package to manage protein structures and their annotations</t>
  </si>
  <si>
    <t>localpdb is a Python-based library designed for managing protein structure datasets and integrating annotations, enabling customized structural bioinformatics workflows</t>
  </si>
  <si>
    <t>● Full version control for PDB data
● Flexible plugin system for annotation integration
● Pandas DataFrame integration
● Reproducible datasets via configuration files
● Supports both PDB and mmCIF formats</t>
  </si>
  <si>
    <t>● Database management
● Dataset creation
● Data filtering and querying
● Annotation integration
● Version control</t>
  </si>
  <si>
    <t>Jan Ludwiczak, Aleksander Winski, Stanislaw Dunin-Horkawicz</t>
  </si>
  <si>
    <t>● Data Management</t>
  </si>
  <si>
    <t>● Plugin system
● pandas DataFrames
● RCSB Search API integration
● Version tracking mechanism
● Configuration-based data management</t>
  </si>
  <si>
    <t>● PDB format files
● mmCIF format files
● Configuration files
● Plugin data sources</t>
  </si>
  <si>
    <t>● pandas DataFrames
● Configuration files
● Filtered datasets</t>
  </si>
  <si>
    <t>● Query efficiency
● Data integration capability
● Storage requirements</t>
  </si>
  <si>
    <t>● Storage: ~100 GB (for both PDB and mmCIF formats)
● Minimal PC requirements
● Version control overhead: small configuration files</t>
  </si>
  <si>
    <t>● Protein Data Bank (PDB)
● SCOP
● ECOD
● CATH
● Pfam
● SIFTS
● DSSP
● Socket
● RCSB Search API</t>
  </si>
  <si>
    <t>● Protein structures
● Domain classifications
● Secondary structure annotations
● Taxonomic mappings
● EC number annotations
● Coiled-coil domain annotations</t>
  </si>
  <si>
    <t>● ~100 GB storage requirement (both PDB and mmCIF formats)
● Variable depending on selected annotations</t>
  </si>
  <si>
    <t>https://labstructbioinf.github.io/localpdb/</t>
  </si>
  <si>
    <t>https://github.com/labstructbioinf/localpdb</t>
  </si>
  <si>
    <t>● Python package
● pip install</t>
  </si>
  <si>
    <t>● Structural bioinformatics
● Protein analysis
● Large-scale dataset management</t>
  </si>
  <si>
    <t>Ludwiczak, J., Winski, A., &amp; Dunin-Horkawicz, S. (2022). Structural bioinformatics localpdb-a Python package to manage protein structures and their annotations. Bioinformatics, 38(9), 2534-2535.</t>
  </si>
  <si>
    <t>MARS</t>
  </si>
  <si>
    <t>MARS: A Multipurpose Software for Untargeted LC−MS-Based
Metabolomics and Exposomics</t>
  </si>
  <si>
    <t>MARS is a Windows-based GUI software for untargeted LC-MS metabolomics and exposomics, providing vendor-agnostic support, 3D peak detection, and biological interpretation features.</t>
  </si>
  <si>
    <t>● Supports multiple MS formats
● enables feature detection in ion mobility data
● includes internal database creation and robust statistical analysis</t>
  </si>
  <si>
    <t>● Windows-only
● requires format conversion for some inputs
● relies on manual parameter tuning for some features</t>
  </si>
  <si>
    <t>Laura Goracci,Paolo Tiberi, Stefano Di Bona, Stefano Bonciarelli, Giovanna Ilaria Passeri,
Marta Piroddi, Simone Moretti, Claudia Volpi, Ismael Zamora, and Gabriele Cruciani</t>
  </si>
  <si>
    <t>● Feature extraction
● Peak detection
● Metabolite annotation
● Statistical analysis</t>
  </si>
  <si>
    <t>● Baseline and noise reduction
● Peak extraction algorithms
● SDA (Statistical Deconvolution Algorithm)
● Savitzky-Golay smoothing
● RT correction and alignment
● Deisotoping
● Gap-filler algorithm
● PCA
● Consensus PCA (CPCA)
● PLS-DA
● O-PLS
● LDA
● K-means clustering
● Bisecting K-means
● Pearson correlation (trend analysis)
● MS/MS spectral matching
● Isotopic pattern matching</t>
  </si>
  <si>
    <t>● .d files (Agilent)
● .raw files (Waters)
● .RAW files (Thermo)
● .wiff files (Sciex)
● .d files (Bruker)
● .lcd files (Shimadzu)
● .sdf files
● .csv files
● .xml files</t>
  </si>
  <si>
    <t>● .csv files
● Annotation tables
● Statistical plots
● Pathway maps</t>
  </si>
  <si>
    <t>● Feature overlap
● Peak area comparison
● Pearson correlation coefficient
● Cluster quality percentage</t>
  </si>
  <si>
    <t>● 14,816 features initially detected
● 8,073 features after filtering
● 970 features with MS/MS data
● 1,809 features matched by exact mass</t>
  </si>
  <si>
    <t>● HMDB
● MoNA
● MiMeDB
● LIPID MAPS
● LipidBlast
● KEGG
● PathBank</t>
  </si>
  <si>
    <t>● Raw metabolomics (LC-MS)</t>
  </si>
  <si>
    <t>● 14,816 initial features
● 8,073 features after filtering
● 970 features with MS/MS
● 1,809 features matched
● 18 samples</t>
  </si>
  <si>
    <t>● https://pubs.acs.org/doi/10.1021/acs.analchem.3c03620</t>
  </si>
  <si>
    <t>● www.moldiscovery.com</t>
  </si>
  <si>
    <t>● C++
● Windows GUI application</t>
  </si>
  <si>
    <t>● Untargeted LC-MS metabolomics</t>
  </si>
  <si>
    <t>Goracci, L., Tiberi, P., Di Bona, S., Bonciarelli, S., Passeri, G. I., Piroddi, M., ... &amp; Cruciani, G. (2024). MARS: A Multipurpose Software for Untargeted LC–MS-Based Metabolomics and Exposomics. Analytical Chemistry, 96(4), 1468-1477.</t>
  </si>
  <si>
    <t>MASST</t>
  </si>
  <si>
    <t>MASST: A Web-based Basic Mass Spectrometry Search Tool for Molecules to Search Public Data</t>
  </si>
  <si>
    <t>MASST is a web-based tool that enables searching for molecular relationships in public metabolomics MS/MS data repositories. It facilitates comparison and annotation of mass spectra across multiple databases</t>
  </si>
  <si>
    <t>● Searches multiple public repositories
● Universal MS data format support
● User-specified search parameters
● Easy data and parameter management
● Option to reanalyze with new libraries
● Shareable results</t>
  </si>
  <si>
    <t>● Limited to publicly available data
● Dependent on database content quality
● Search limited by reference library coverage</t>
  </si>
  <si>
    <t>Wang, M., Jarmusch, A. K., Vargas, F., Aksenov, A. A., Gauglitz, J. M., Weldon, K., ... &amp; Dorrestein, P. C.</t>
  </si>
  <si>
    <t xml:space="preserve"> Nature biotechnology</t>
  </si>
  <si>
    <t>● Spectrum search
● Similarity matching
● Database querying</t>
  </si>
  <si>
    <t>● MS/MS spectrum matching</t>
  </si>
  <si>
    <t>● MS/MS Spectra (.mzML, .mzXML, .MGF)</t>
  </si>
  <si>
    <t>● Matched MS/MS spectra with metadata
● Similarity scores
● Sample origins and annotations</t>
  </si>
  <si>
    <t>● Similarity Score
● Retrieval Accuracy</t>
  </si>
  <si>
    <t>● GNPS/MassIVE
● Metabolomics Workbench
● MetaboLights
● Public MS/MS spectral libraries</t>
  </si>
  <si>
    <t>● Structured (MS/MS Spectra)</t>
  </si>
  <si>
    <t>● ~1,100 datasets
● ~110 million MS/MS spectra
● ~150,000 files</t>
  </si>
  <si>
    <t>https://gnps.ucsd.edu/ProteoSAFe/libraries.jsp</t>
  </si>
  <si>
    <t>● Web-based platform
● GNPS infrastructure</t>
  </si>
  <si>
    <t>● Metabolomics research
● Clinical, environmental, and natural product studies</t>
  </si>
  <si>
    <t>Wang, M., Jarmusch, A. K., Vargas, F., Aksenov, A. A., Gauglitz, J. M., Weldon, K., ... &amp; Dorrestein, P. C. (2020). Mass spectrometry searches using MASST. Nature biotechnology, 38(1), 23-26.‏</t>
  </si>
  <si>
    <t>MassyTools</t>
  </si>
  <si>
    <t>MassyTools: A High-Throughput Targeted Data Processing Tool for Relative Quantitation and Quality Control Developed for Glycomic and Glycoproteomic MALDI-MS</t>
  </si>
  <si>
    <t>Automated software tool for high-throughput processing of MALDI-MS glycomics data, enabling calibration, relative quantitation, and quality control</t>
  </si>
  <si>
    <t>● Provides better calibration compared to commercial software (2x improvement in ppm error)
● Supports relative quantitation and automated quality control
● Fully automated and integrates seamlessly with Python-based bioinformatics pipelines</t>
  </si>
  <si>
    <t>● Limited to MALDI-TOF-MS data
● Requires installation of Python libraries and dependencies</t>
  </si>
  <si>
    <t>Bas C. Jansen, Karli R. Reiding, Albert Bondt, Agnes L. Hipgrave Ederveen, Magnus Palmblad, David Falck, Manfred Wuhrer</t>
  </si>
  <si>
    <t>● Mass spectrum calibration
● Relative quantitation
● Quality control assessment
● Background determination
● Peak extraction
● Isotopic pattern matching</t>
  </si>
  <si>
    <t>● Cubic spline fitting
● Second-degree polynomial calibration
● Adaptive background determination
● Binomial distribution (isotopic pattern calculation)
● SNAP algorithm comparison</t>
  </si>
  <si>
    <t>● .txt files (x,y format)
● mzML files
● MALDI-TOF-MS spectra
● User-defined analyte composition lists</t>
  </si>
  <si>
    <t>● Relative areas (background-subtracted)
● Calibrated spectra
● Quality control scores (isotopic pattern QC)
● Signal-to-noise ratios
● Mass calibration errors (ppm)
● Background intensity values</t>
  </si>
  <si>
    <t>● Mass calibration error (ppm)
● Relative standard deviation (RSD)
● Signal-to-noise ratio (S/N)
● Isotopic quality control (QC) value
● Processing time</t>
  </si>
  <si>
    <t>● Calibration: 2-fold better ppm errors vs flexAnalysis
● mAb1 main glycan: RSD 2.2% (MassyTools) vs 1.9% (flexAnalysis)
● TPNG main peak: RSD 6.4%
● Low-abundance analytes: 2-5-fold lower RSD vs flexAnalysis
● Processing time: 5 minutes for 108 compositions (24 samples)
● flexAnalysis processing: ~10 hours (manual)</t>
  </si>
  <si>
    <t>● Monoclonal antibody (mAb1) samples
● Total Plasma N-Glycome (TPNG) from healthy donors
● Affinity Biologicals pooled plasma</t>
  </si>
  <si>
    <t>● Structured (mzML, CSV) 
● Semi-structured (metadata files)</t>
  </si>
  <si>
    <t>● mAb1 glycans: 6 calibrants used
● mAb1 glycopeptides: 5 calibrants used
● TPNG: 7 calibrants used
● TPNG analysis: 108 analyte compositions extracted
● 24 TPNG measurements processed
● 20,000 spectra accumulated (glycan samples)
● 5,000 spectra accumulated (glycopeptide samples)</t>
  </si>
  <si>
    <t>https://github.com/Tarskin/MassyTools</t>
  </si>
  <si>
    <t>● Python 2.7
● Anaconda distribution
● Libraries: NumPy, SciPy, matplotlib, TkInter
● Graphical user interface (GUI)</t>
  </si>
  <si>
    <t>● Glycomics &amp; glycoproteomics research 
● Quality control in biomarker discovery 
● Biopharmaceutical development</t>
  </si>
  <si>
    <t>Jansen, B. C., Reiding, K. R., Bondt, A., Hipgrave Ederveen, A. L., Palmblad, M., Falck, D., &amp; Wuhrer, M. (2015). MassyTools: A High-Throughput Targeted Data Processing Tool for Relative Quantitation and Quality Control Developed for Glycomic and Glycoproteomic MALDI-MS. Journal of Proteome Research, 14(12), 5088-5098).</t>
  </si>
  <si>
    <t>matchms</t>
  </si>
  <si>
    <t>matchms - processing and similarity evaluation of mass spectrometry data</t>
  </si>
  <si>
    <t>Open-source Python package for importing, processing, cleaning, and comparing MS/MS mass spectrometry data with easy-to-reproduce workflows from raw spectra to pre- and post-processed spectral data</t>
  </si>
  <si>
    <t>● Supports multiple standard formats (msp, mzML, mzXML, MGF, JSON)
● Easily stackable filter functions for custom pipelines
● Fast implementations using NumPy, SciPy, and Numba
● Easily extensible API for custom filters and similarity functions
● Extensive metadata cleaning for GNPS-style datasets</t>
  </si>
  <si>
    <t>● Primarily designed for smaller molecules and natural compounds
● Metadata cleaning filters mainly designed for GNPS datasets
● Requires extension for larger peptides or proteins
● Limited native visualization capabilities compared to spectrum_utils</t>
  </si>
  <si>
    <t>Huber, Florian, Stefan Verhoeven, Christiaan Meijer, Hanno Spreeuw, Efraín Manuel Villanueva Castilla, Cunliang Geng, Justin JJ van der Hooft et al.</t>
  </si>
  <si>
    <t>Journal of Open Source Software</t>
  </si>
  <si>
    <t>● Mass spectra data import and processing
● Metadata cleaning and harmonization
● Spectral similarity calculation
● Molecular fingerprint comparison
● Spectral data filtering and visualization</t>
  </si>
  <si>
    <t>● Cosine similarity score
● Modified cosine score
● Dice similarity
● Jaccard similarity
● Molecular fingerprint similarity (RDKit, Morgan1-3)</t>
  </si>
  <si>
    <t>● .msp files
● .mzML files
● .mzXML files
● .MGF files
● .json files (GNPS format)</t>
  </si>
  <si>
    <t>● Filtered spectra objects
● Similarity score matrices
● Processed metadata
● Spectrum plots
● Comparison results</t>
  </si>
  <si>
    <t xml:space="preserve">
● Cosine similarity score
● Number of matching peaks
● Processing speed
● Filtering accuracy</t>
  </si>
  <si>
    <t>● MassBank
● GNPS
● MetaboLights
● pyteomics
● RDKit</t>
  </si>
  <si>
    <t>● MS/MS fragmentation mass spectrometry data
● Spectrum peaks data
● Metadata annotations
● Molecular fingerprints
● Similarity score matrices</t>
  </si>
  <si>
    <t>● https://github.com/matchms/matchms
● https://anaconda.org/nlesc/matchms
● https://matchms.readthedocs.io/en/latest/</t>
  </si>
  <si>
    <t>● Python package
● Conda package
● pip install</t>
  </si>
  <si>
    <t>● Mass spectrometry data processing
● Metabolomics
● Natural products analysis
● Spectral library curation
● Molecular networking</t>
  </si>
  <si>
    <t>Huber, F., Verhoeven, S., Meijer, C., Spreeuw, H., Castilla, E. M. V., Geng, C., van der Hooft, J. J. J., Rogers, S., Belloum, A., Diblen, F., &amp; Spaaks, J. H. (2020). matchms - processing and similarity evaluation of mass spectrometry data. Journal of Open Source Software, 5(52), 2411. https://doi.org/10.21105/joss.02411</t>
  </si>
  <si>
    <t>MAW</t>
  </si>
  <si>
    <t>MAW: the reproducible Metabolome
Annotation Workflow for untargeted tandem mass spectrometry</t>
  </si>
  <si>
    <t>Automated workflow integrating spectral databases (GNPS, HMDB, MassBank) with SIRIUS annotation tool and RDKit for candidate selection to annotate metabolites from untargeted LC-MS2 data</t>
  </si>
  <si>
    <t>● Automated candidate selection from multiple sources
● FAIR-compliant (Docker images, GitHub, Zenodo)
● Integrates spectral and compound databases
● Provides chemical similarity networks
● MSI-level annotation confidence
● Reproducible and traceable results</t>
  </si>
  <si>
    <t>● Requires pre-selected LC-MS features
● Spectral database matching limited to available spectra
● Cosine similarity metrics may miss candidates with shifted peaks
● Lipid annotation challenging due to isomers
● Manual review still needed for some cases
● Large databases (PubChem) may lower correct ranks</t>
  </si>
  <si>
    <t>Zulfiqar, M., Gadelha, L., Steinbeck, C., Sorokina, M., &amp; Peters, K.</t>
  </si>
  <si>
    <t>● Annotation (metabolite identification)
● Classification (compound classes)
● Candidate selection
● Dereplication (spectral and compound databases)</t>
  </si>
  <si>
    <t>● Spectral database matching (cosine similarity)
● Compound database dereplication (SIRIUS)
● Tanimoto similarity (RDKit)
● Chemical classification (CANOPUS, ClassyFire)</t>
  </si>
  <si>
    <t>● .mzML files (LC-MS2 spectra)
● SMILES strings
● InChI strings</t>
  </si>
  <si>
    <t>● Candidate lists (ranked)
● Chemical similarity networks (.TSV for Cytoscape)
● Chemical class annotations
● Molecular formulae</t>
  </si>
  <si>
    <t>● MSI confidence levels (1-5)
● Ranking accuracy
● Annotation coverage</t>
  </si>
  <si>
    <t>● Standards dataset: 8/9 compounds correctly identified (top 3 ranks)
● Bryophytes dataset: 881/933 features annotated with structures
● 8 compounds confirmed from original study</t>
  </si>
  <si>
    <t>● GNPS
● HMDB
● MassBank
● PubChem
● COCONUT
● ClassyFire (ChemOnt)</t>
  </si>
  <si>
    <t xml:space="preserve">
● MS/MS spectra (positive ionization)
● Molecular fingerprints
● SMILES
● InChI
● InChIKeys</t>
  </si>
  <si>
    <t>● Standards dataset: 9 standard compounds, 37 features
● Bryophytes dataset: 933 features from 9 species
● Spectral databases: GNPS (497,751 spectra), HMDB (458,963 spectra), MassBank (90,190 spectra)</t>
  </si>
  <si>
    <t>● https://zenodo.org/record/7106205 (standards)
● https://zenodo.org/record/7107096 (bryophytes)
● https://zenodo.org/record/6528931 (spectral databases)
● MTBLS3177 (MetaboLights)
● MTBLS709 (MetaboLights)</t>
  </si>
  <si>
    <t>● https://github.com/zmahnoor14/MAW
● https://doi.org/10.5281/zenodo.7148450</t>
  </si>
  <si>
    <t>● Docker containers (maw-r, maw-py)
● R (4.2.0)
● Python (3.10.7)
● Available on DockerHub</t>
  </si>
  <si>
    <t>Untargeted metabolomics
● Natural product discovery
● Clinical metabolomics
● Biomarker discovery
● Chemical diversity assessment
● Metabolite annotation</t>
  </si>
  <si>
    <t>Zulfiqar, M., Gadelha, L., Steinbeck, C., Sorokina, M., &amp; Peters, K. (2023). MAW: the reproducible M etabolome A nnotation W orkflow for untargeted tandem mass spectrometry. Journal of cheminformatics, 15(1), 32.‏</t>
  </si>
  <si>
    <t>MBROLE3</t>
  </si>
  <si>
    <t>MBROLE3: improved functional enrichment of chemical compounds for metabolomics data analysis</t>
  </si>
  <si>
    <t>Web-based tool for functional enrichment analysis of metabolomics experiments using statistical analysis of annotations from multiple databases</t>
  </si>
  <si>
    <t>● Integrates annotations from multiple databases
● Includes indirect annotations from literature and protein interactions
● Provides interactive tables and graphical plots
● Supports multiple chemical compound ID formats
● Free and open access with no login required</t>
  </si>
  <si>
    <t>● Limited to predefined functional categories
● Requires manual input of compound identifiers
● Coverage depends on database annotations
● No integration with upstream metabolomics analysis pipelines</t>
  </si>
  <si>
    <t>Javier, Lopez-Ibañez; Florencio, Pazos; Monica, Chagoyen</t>
  </si>
  <si>
    <t>● Functional enrichment analysis
● Over-representation analysis
● Chemical compound ID conversion
● Annotation retrieval
● Statistical significance testing</t>
  </si>
  <si>
    <t>● Hypergeometric test
● Fisher's exact test
● False discovery rate (FDR) correction
● Background comparison analysis
● Automatic literature mining (for indirect annotations)</t>
  </si>
  <si>
    <t>● Chemical compound identifiers (KEGG, ChEBI, PubChem, HMDB, CAS)
● .txt files
● Compound ID lists</t>
  </si>
  <si>
    <t>● Enriched functional annotations (interactive tables)
● P-values and FDR-corrected values
● Bar plots
● Dot plots
● Downloadable results</t>
  </si>
  <si>
    <t>● P-value
● False discovery rate (FDR)
● Enrichment ratio</t>
  </si>
  <si>
    <t>● KEGG pathways
● BioCyc
● HMDB
● ECMDB
● ChEBI
● CTD (Comparative Toxicogenomics Database)
● TTD (Therapeutic Target Database)
● PathBank
● Reactome
● PharmGKB
● LIPID MAPS
● MeSH (Medical Subject Headings)
● UniProt
● PANTHER</t>
  </si>
  <si>
    <t>● Chemical compound identifiers
● Functional annotations
● Pathway annotations
● Gene Ontology terms
● Protein interaction data
● Literature-derived annotations</t>
  </si>
  <si>
    <t xml:space="preserve">https://csbg.cnb.csic.es/mbrole3/ </t>
  </si>
  <si>
    <t>● Web-based tool (MBROLE3 Web Server)</t>
  </si>
  <si>
    <t xml:space="preserve">● Metabolomics research 
● Functional enrichment analysis 
● Systems biology applications </t>
  </si>
  <si>
    <t>Lopez-Ibañez, J., Pazos, F., &amp; Chagoyen, M. (2023). MBROLE3: improved functional enrichment of chemical compounds for metabolomics data analysis. Nucleic Acids Research. https://doi.org/10.1093/nar/gkad389</t>
  </si>
  <si>
    <t>MetaboAnalyst</t>
  </si>
  <si>
    <t>MetaboAnalyst 3.0—making metabolomics more meaningful</t>
  </si>
  <si>
    <t>A web-based metabolomics analysis platform providing statistical, functional, and biomarker analysis tools with an interactive graphical interface</t>
  </si>
  <si>
    <t>● 8 functional modules covering statistical and functional analysis
● Interactive 2D/3D visualization (PCA, PLS-DA, heatmaps)
● ROC curve analysis for biomarker evaluation
● Sample size estimation and power analysis
● Multi-omics integration (genes + metabolites)
● 5X increase in compound library (based on HMDB 3.0)</t>
  </si>
  <si>
    <t>● Limited raw spectral processing support
● Web-based platform requires internet connection
● 2.5 hour analysis timeout on server</t>
  </si>
  <si>
    <t>Jianguo, Xia; Igor V., Sinelnikov; Beomsoo, Han; David S., Wishart</t>
  </si>
  <si>
    <t>● Statistical analysis
● Biomarker discovery
● Pathway analysis
● Enrichment analysis
● Power analysis
● Classification
● Clustering</t>
  </si>
  <si>
    <t>● PCA (Principal Component Analysis)
● PLS-DA (Partial Least Squares Discriminant Analysis)
● ROC curve analysis
● Support Vector Machines (SVM)
● Random Forests
● t-tests and ANOVA
● Hierarchical clustering</t>
  </si>
  <si>
    <t>● Metabolite concentration tables
● Peak lists
● Spectral bins
● MS/NMR peak lists
● Gene lists (for integrated pathway analysis)</t>
  </si>
  <si>
    <t>● Interactive plots (2D/3D scores, loadings, heatmaps)
● ROC curves with confidence intervals
● Statistical reports
● Pathway analysis visualizations
● Feature details tables</t>
  </si>
  <si>
    <t>● AUC (Area Under Curve)
● Sensitivity
● Specificity
● Statistical power
● P-values
● False discovery rate</t>
  </si>
  <si>
    <t>● Processes &gt;50,000 jobs per month
● 50X increase in user traffic since 2009
● Analysis timeout: 2.5 hours
● Average analysis time: ~20 minutes</t>
  </si>
  <si>
    <t>● HMDB (Human Metabolome Database)
● KEGG
● SMPDB (Small Molecule Pathway Database)</t>
  </si>
  <si>
    <t>● Metabolomics data
● Transcriptomics data (for integrated analysis)
● Metabolite concentrations
● Peak lists
● Multi-omics data</t>
  </si>
  <si>
    <t xml:space="preserve">https://www.metaboanalyst.ca/ </t>
  </si>
  <si>
    <t>● Web server
● PrimeFaces 4.0
● R backend (v3.03)
● Available for local installation</t>
  </si>
  <si>
    <t>● Metabolomics data analysis
● Biomarker discovery
● Clinical metabolomics
● Translational medicine
● Systems biology
● Multi-omics integration</t>
  </si>
  <si>
    <t>Xia, J., Sinelnikov, I. V., Han, B., &amp; Wishart, D. S. (2015). MetaboAnalyst 3.0—making metabolomics more meaningful. Nucleic Acids Research, 43(W1), W251-W257. https://doi.org/10.1093/nar/gkv380</t>
  </si>
  <si>
    <t>MetaboAnalystR</t>
  </si>
  <si>
    <t>MetaboAnalystR: an R package for flexible and reproducible analysis of metabolomics data</t>
  </si>
  <si>
    <t>A companion R package for the MetaboAnalyst web platform, enabling flexible, script-based metabolomics data analysis with enhanced reproducibility</t>
  </si>
  <si>
    <t>● Full reproducibility through R command history
● 11 modules with over 500 functions
● Handles large datasets without size restrictions
● Interoperable with XCMS and other tools
● Open-source on GitHub and CRAN</t>
  </si>
  <si>
    <t>● Requires R programming knowledge
● Command-line interface only
● Steeper learning curve than web interface</t>
  </si>
  <si>
    <t>Jasmine, Chong; Jianguo, Xia</t>
  </si>
  <si>
    <t>● Statistical analysis
● Biomarker analysis
● Enrichment analysis
● Pathway analysis
● Classification
● Clustering</t>
  </si>
  <si>
    <t>● PCA (Principal Component Analysis)
● Supervised learning (caret package)
● ROC analysis (ROCR package)
● Mummichog algorithm
● Clustering methods
● Time-series analysis</t>
  </si>
  <si>
    <t>● .csv files
● NetCDF files
● mzDATA files
● mzXML files
● Metabolite concentration tables</t>
  </si>
  <si>
    <t>● Statistical results
● Plots (PCA, heatmaps, etc.)
● Analysis reports (Sweave)
● R command history scripts</t>
  </si>
  <si>
    <t>● ROC curves
● Classification accuracy
● Biomarker performance metrics</t>
  </si>
  <si>
    <t>● MetaboAnalyst knowledgebase
● Compound libraries
● Pathway libraries
● Metabolite set libraries</t>
  </si>
  <si>
    <t>● Metabolomics data
● Metabolite concentrations
● MS peak lists
● Multi-omics data</t>
  </si>
  <si>
    <t>● https://github.com/xia-lab/MetaboAnalystR</t>
  </si>
  <si>
    <t>● R package
● Available on GitHub and CRAN</t>
  </si>
  <si>
    <t xml:space="preserve">● Metabolomics data processing
● Statistical &amp; functional analysis
● Multi-omics data integration </t>
  </si>
  <si>
    <t>Chong, J., &amp; Xia, J. (2018). MetaboAnalystR: an R package for flexible and reproducible analysis of metabolomics data. Bioinformatics, 34(24), 4313-4314. https://doi.org/10.1093/bioinformatics/bty528</t>
  </si>
  <si>
    <t>MetaboAnnotatoR</t>
  </si>
  <si>
    <t>MetaboAnnotatoR-Automated Annotation of Untargeted All-Ion Fragmentation LC−MS
Metabolomics Data with MetaboAnnotatoR</t>
  </si>
  <si>
    <t>Automated annotation of isotopologues, adducts, and in-source fragments from AIF LC-MS datasets by combining correlation-based parent-fragment linking with molecular fragment matching</t>
  </si>
  <si>
    <t>● Precision 82-92% and recall 82-85%
● Equals or outperforms MS-DIAL
● Open-source R package
● Focuses on subset of features
● Annotates isotopologues, adducts, and in-source fragments</t>
  </si>
  <si>
    <t>● Variable performance across different matrices
● Precision 60-89% for validation datasets
● Recall 10-88% particularly low for nonlipid metabolites
● Relatively small library size for nonlipids</t>
  </si>
  <si>
    <t>Graca, Goncalo, Yuheng Cai, Chung-Ho E. Lau, Panagiotis A. Vorkas, Matthew R. Lewis, Elizabeth J. Want, David Herrington, and Timothy MD Ebbels</t>
  </si>
  <si>
    <t>● Annotation of metabolomics features
● Pseudo-MS/MS reconstruction
● Parent-fragment linking
● Isotopologue identification
● Adduct identification</t>
  </si>
  <si>
    <t xml:space="preserve">
● Pearson correlation coefficient
● Peak shape correlation
● Fragment library matching
● Scoring system with occurrence scores</t>
  </si>
  <si>
    <t>● .mzML files
● .netCDF files
● Feature tables (m/z and RT)
● RAMClustR objects</t>
  </si>
  <si>
    <t>● .csv annotation tables
● .pdf graphical outputs
● Pseudo-MS/MS spectra
● Ranked candidate lists</t>
  </si>
  <si>
    <t>● Precision
● Recall
● Annotation accuracy
● Ranking score</t>
  </si>
  <si>
    <t xml:space="preserve">
● Precision: 82-92% (MESA datasets, ranks 1-5)
● Recall: 82-85% (MESA datasets, ranks 1-5)
● Precision: 91.6% (Lipid+ QC)
● Recall: 85.4% (Lipid+ QC)
● Precision: 60-89% (validation datasets)</t>
  </si>
  <si>
    <t>● MESA human serum datasets
● MassBank
● GNPS
● LipidMaps
● HMDB
● MetaboLights (MTBLS666, MTBLS816)</t>
  </si>
  <si>
    <t>● LC-MS AIF spectra
● MS/MS spectra
● Feature lists (m/z-RT pairs)
● Fragment libraries
● Pseudo-MS/MS spectra</t>
  </si>
  <si>
    <t>● 599 features (MESA datasets, manually annotated)
● 192 features (Lipid+)
● 147 features (Lipid−)
● 260 features (HILIC+)
● 90,425 lipid library entries
● 179 small-molecule library entries</t>
  </si>
  <si>
    <t xml:space="preserve">
● https://pubs.acs.org/doi/10.1021/acs.analchem.1c03032</t>
  </si>
  <si>
    <t>● https://github.com/gggraca/MetaboAnnotatoR</t>
  </si>
  <si>
    <t>● Metabolomics feature annotation
● Lipidomics annotation
● Biomarker discovery
● Disease mechanism studies
● Untargeted metabolomics</t>
  </si>
  <si>
    <t>Graca, G., Cai, Y., Lau, C. H. E., Vorkas, P. A., Lewis, M. R., Want, E. J., ... &amp; Ebbels, T. M. (2022). Automated annotation of untargeted all-ion fragmentation LC–MS metabolomics data with MetaboAnnotatoR. Analytical Chemistry, 94(8), 3446-3455.‏</t>
  </si>
  <si>
    <t>MetaboKit</t>
  </si>
  <si>
    <t>MetaboKit: a comprehensive data extraction tool for untargeted metabolomics</t>
  </si>
  <si>
    <t>A software tool for compound identification and quantification in untargeted metabolomics using mass spectrometry</t>
  </si>
  <si>
    <t>● MS/MS-driven identification with high specificity (99.6%)
● Builds customized spectral library from user's own data
● Bi-directional dot product scoring for ISF detection
● Quantification at MS1 and MS2 levels
● Open-source on GitHub
● Higher sensitivity than MS-DIAL and XCMS Online in standard mixture</t>
  </si>
  <si>
    <t>● Requires reference spectral library
● Command-line interface only
● ISF detection limited to peaks with MS/MS spectra
● Requires programming knowledge for optimal use</t>
  </si>
  <si>
    <t>Pradeep Narayanaswamy, Guoshou Teo, Jin Rong Ow, Adam Lau, Philipp Kaldis, Stephen Tate, Hyungwon Choi</t>
  </si>
  <si>
    <t>Molecular Omics</t>
  </si>
  <si>
    <t xml:space="preserve">
● Compound identification
● Feature extraction
● Peak integration
● In-source fragment (ISF) detection
● Differential abundance analysis</t>
  </si>
  <si>
    <t>● Modified dot product scoring
● Bi-directional dot product for ISF detection
● Extracted ion chromatogram (XIC) analysis
● mapDIA quantification pipeline
● Cross-sample alignment</t>
  </si>
  <si>
    <t>● .mzML files
● Reference spectral libraries (.msp format)
● DDA-MS data
● DIA-MS data</t>
  </si>
  <si>
    <t>● Customized spectral library (.msp format)
● Compound identification results
● Peak area values (MS1 and MS2)
● ISF annotations</t>
  </si>
  <si>
    <t>● Sensitivity
● Specificity
● Pearson correlation
● Dot product score
● Coefficient of variation</t>
  </si>
  <si>
    <t>● Sensitivity: 80% (70/87 compounds in standard mix)
● Specificity: 99.6%
● Correlation with input concentrations: &gt;0.99 (MS1), &gt;0.99 (MS2)
● Detected 40 ISFs in standard mixture</t>
  </si>
  <si>
    <t>● NIST2014
● HMDB
● MassBank
● LIPIDBLAST
● MS-DIAL repository libraries</t>
  </si>
  <si>
    <t>● DDA-MS data
● DIA-MS data
● MS/MS spectra
● Metabolite concentrations</t>
  </si>
  <si>
    <t>● 91 metabolite standards
● 454 detected compounds (single injection)
● 1,818 unique matches (mouse liver)
● 10 mice (5 Cdk1Liv−/− + 5 WT)</t>
  </si>
  <si>
    <t xml:space="preserve">https://pubs.rsc.org/en/content/articlelanding/2020/mo/d0mo00030b </t>
  </si>
  <si>
    <t xml:space="preserve">https://github.com/MetaboKit </t>
  </si>
  <si>
    <t>● Python
● Command-line tool
● Binaries for Windows, Mac OS X, Linux</t>
  </si>
  <si>
    <t xml:space="preserve">
● Untargeted metabolomics
● Lipidomics
● Differential abundance analysis
● Biomarker discovery
● Systems biology</t>
  </si>
  <si>
    <t>Narayanaswamy, P., Teo, G., Ow, J. R., Lau, A., Kaldis, P., Tate, S., &amp; Choi, H. (2020). MetaboKit: a comprehensive data extraction tool for untargeted metabolomics. Molecular Omics, 16, 436-444.</t>
  </si>
  <si>
    <t>MetaDB</t>
  </si>
  <si>
    <t>MetaDB a data processing workflow in untargeted MS-based metabolomics experiments</t>
  </si>
  <si>
    <t>A web-based metabolomics data management platform designed for organizing, storing, and analyzing metabolomics datasets, integrating metadata and raw data processing workflows</t>
  </si>
  <si>
    <t>● Automated randomized sample sequence generation
● ISA-Tab metadata standard integration
● Quality control plots (PCA, RSD) for analytical run assessment
● Direct integration with MetaboLights repository
● metaMS R package integration for feature alignment
● Web-based interface minimizing manual intervention</t>
  </si>
  <si>
    <t>● No automatic parameter optimization
● Manual parameter optimization required at lower level
● Limited built-in annotation capabilities
● Requires external conversion tools for some raw data formats</t>
  </si>
  <si>
    <t>Review paper</t>
  </si>
  <si>
    <t>Pietro Franceschi, Roman Mylonas, Nir Shahaf, Matthias Scholz, Panagiotis Arapitsas, Domenico Masuero, Georg Weingart, Silvia Carlin, Urska Vrhovsek, Fulvio Mattivi, Ron Wehrens</t>
  </si>
  <si>
    <t>Frontiers in Bioengineering and Biotechnology</t>
  </si>
  <si>
    <t>● Metadata organization
● Sample sequence generation
● Data storage management
● Feature alignment
● Peak detection
● Quality assessment</t>
  </si>
  <si>
    <t xml:space="preserve">
● XCMS (peak picking, grouping, alignment)
● Principal Component Analysis (PCA)
● Relative Standard Deviation (RSD) calculation
● Total Ion Current (TIC) integration</t>
  </si>
  <si>
    <t>● ISA-Tab files
● .RAW files (vendor-specific)
● .CDF files
● .mzXML files
● .mzML files</t>
  </si>
  <si>
    <t>● .csv peak tables
● RData binary files
● PCA scoreplots
● RSD histograms
● TIC integration plots
● ISA-Tab archives</t>
  </si>
  <si>
    <t>● Relative Standard Deviation (RSD)
● Principal Component scores
● Total Ion Current (TIC)</t>
  </si>
  <si>
    <t>● RSD distribution peaking below 20% indicates good reproducibility
● QC samples cluster tightly in PCA space
● Analytical run duration: ~20 hours for 50 injections</t>
  </si>
  <si>
    <t>● MetaboLights (MTBLS137)</t>
  </si>
  <si>
    <t>● LC-MS data (UPLC-QTOF-MS)
● GC-MS data
● Metadata (ISA-Tab format)
● Peak tables</t>
  </si>
  <si>
    <t>● 40 biological samples (10 replicates × 2 varieties × 2 locations)
● 50 total injections (including QC and blanks)
● Grape leaf metabolomics dataset</t>
  </si>
  <si>
    <t xml:space="preserve">https://www.ebi.ac.uk/metabolights/ </t>
  </si>
  <si>
    <t>https://github.com/rmylonas/MetaDB</t>
  </si>
  <si>
    <t>● Grails framework (version 2.2.3)
● Java application (Java 1.7)
● R (metaMS package via Bioconductor)
● MySQL (version 5.5)
● Tomcat 6
● Twitter Bootstrap (version 3.0.2)</t>
  </si>
  <si>
    <t>● Untargeted metabolomics workflows
● Quality control assessment
● Data repository preparation
● Laboratory information management
● Metabolite profiling experiments</t>
  </si>
  <si>
    <t>Franceschi, P., Mylonas, R., Shahaf, N., Scholz, M., Arapitsas, P., Masuero, D., Weingart, G., Carlin, S., Vrhovsek, U., Mattivi, F., &amp; Wehrens, R. (2014). MetaDB a data processing workflow in untargeted MS-based metabolomics experiments. Frontiers in Bioengineering and Biotechnology, 2, 72.</t>
  </si>
  <si>
    <t>MetAlign</t>
  </si>
  <si>
    <t>MetAlign: Interface-Driven, Versatile Metabolomics Tool for Hyphenated Full-Scan Mass Spectrometry Data Preprocessing</t>
  </si>
  <si>
    <t>A data preprocessing tool designed for metabolomics, specifically for handling GC/MS and LC/MS datasets, providing automated format conversion, alignment, and peak-picking</t>
  </si>
  <si>
    <t>● Handles both nominal and accurate mass data
● Processes GC/MS and LC/MS from multiple vendors
● Aligns up to 1000 datasets in one session
● 100-1000-fold data reduction
● Automatic format conversion between manufacturer formats and netCDF</t>
  </si>
  <si>
    <t>● Requires Windows OS only
● Requires at least 1GB RAM
● No automatic metabolite identification
● Waters .RAW lock mass recalibration not applied during conversion</t>
  </si>
  <si>
    <t>Arjen, Lommen</t>
  </si>
  <si>
    <t>● Baseline correction
● Peak detection
● Feature alignment
● Denoising
● Format conversion
● Data reduction</t>
  </si>
  <si>
    <t xml:space="preserve">
● Binomial digital filter
● Noise estimation algorithm
● Linear baseline correction
● Iterative alignment with landmark masses
● Dynamic mass binning</t>
  </si>
  <si>
    <t>● .RAW files (Masslynx, Xcalibur)
● netCDF files
● HP/Agilent format files
● GC/MS data (nominal mass)
● LC/MS data (accurate mass)</t>
  </si>
  <si>
    <t>● Baseline-corrected MS files
● Peak-picked datasets
● Aligned data matrices
● .csv files (Excel-compatible)
● Manufacturer format files (for visual inspection)</t>
  </si>
  <si>
    <t>● Data reduction factor
● Processing time
● Number of aligned peaks
● Signal-to-noise ratio</t>
  </si>
  <si>
    <t>● 100-1000-fold data reduction
● 940 Leco GC-TOF files aligned successfully
● 550 Waters UPLC-TOF files aligned successfully
● Signal-to-noise ratio: 2-3 in presence of chemical noise
● Processing time: minutes to several days depending on data size</t>
  </si>
  <si>
    <t>● Experimental datasets from multiple sources
● HP/Agilent GC/MS data
● Leco GC-TOF data
● Waters UPLC-QTOF data
● Applied Biosystems HPLC-QTOF data
● Bruker UPLC-MicroTOF data
● Thermo Fisher HPLC-Orbitrap data</t>
  </si>
  <si>
    <t>● GC/MS nominal mass data
● GC/MS accurate mass data
● LC/MS accurate mass data
● Time-series mass spectrometry data</t>
  </si>
  <si>
    <t>● Maximum 1000 data files per alignment session
● 940 Leco GC-TOF files tested
● 550 Waters UPLC-TOF files tested
● File sizes: 1.6 MB to 205 MB per file
● Reduced file sizes: 106 kB to 950 kB per file</t>
  </si>
  <si>
    <t>● https://www.metalign.nl</t>
  </si>
  <si>
    <t>● Standalone Windows application
● C and Visual C++ version 6.0
● Requires Windows XP, NT, or 2000
● At least 1GB SDRAM
● 80GB free disk space recommended</t>
  </si>
  <si>
    <t>● Untargeted metabolomics
● GC/MS data preprocessing
● LC/MS data preprocessing
● Accurate mass calculation
● Metabolite profiling
● Quality control assessment</t>
  </si>
  <si>
    <t>Lommen, A. (2009). MetAlign: Interface-Driven, Versatile Metabolomics Tool for Hyphenated Full-Scan Mass Spectrometry Data Preprocessing. Analytical Chemistry, 81(8), 3079-3086.</t>
  </si>
  <si>
    <t>METASPACE</t>
  </si>
  <si>
    <t>METASPACE: A community-populated knowledge base of spatial metabolomes in health and disease</t>
  </si>
  <si>
    <t>A high-performance web-based platform for metabolite annotation in imaging mass spectrometry (MS), supporting public dataset sharing and confidence-controlled annotation</t>
  </si>
  <si>
    <t>● Fast annotation (&lt;10 min for 10 GB dataset)
● FDR-controlled confidence assessment
● Supports multiple MS technologies
● Cloud-based scalable architecture
● Community-driven knowledge base (3200+ public datasets)</t>
  </si>
  <si>
    <t xml:space="preserve">
● Requires cloud infrastructure
● Annotation at molecular formula level only (Level 2)
● Dependent on quality of submitted datasets
● Limited to MS1-based annotation</t>
  </si>
  <si>
    <t>Theodore, Alexandrov, Katja, Ovchinnikova, Andrew, Palmer, Vitaly, Kovalev, Artem, Tarasov, Lachlan, Stuart, Renat, Nigmetzianov, Dominik, Fay</t>
  </si>
  <si>
    <t>● Metabolite annotation
● FDR estimation
● Similarity network analysis
● Molecular class enrichment analysis</t>
  </si>
  <si>
    <t>● Apache Spark (Resilient Distributed Datasets)
● FDR control
● TF-IDF modeling
● Cohen's kappa analysis
● Cosine similarity</t>
  </si>
  <si>
    <t>● .imzML files (centroided format)
● Molecular databases</t>
  </si>
  <si>
    <t>● Metabolite annotations (molecular formula, ion adduct)
● Metabolite ion images
● FDR values
● MSM scores</t>
  </si>
  <si>
    <t>● False Discovery Rate (FDR)
● Metabolite-Signal Match (MSM) score
● Coverage (annotations per dataset)
● Dynamic range
● Cohen's kappa</t>
  </si>
  <si>
    <t>● Processing time: &lt;10 min per 10 GB dataset
● Coverage: up to 10³ annotations per dataset
● Dynamic range: up to 10⁵
● Cohen's kappa: 0.95 (polarity), 0.85 (laboratory), 0.77 (organ)</t>
  </si>
  <si>
    <t xml:space="preserve">
● HMDB
● ChEBI
● LIPID MAPS
● SwissLipids
● PAMDB
● ECMDB</t>
  </si>
  <si>
    <t>● Imaging mass spectrometry data
● Metabolite annotations
● Metadata (sample, preparation, MS parameters)</t>
  </si>
  <si>
    <t>● 3200+ public datasets
● 6 million metabolite images
● 140+ contributors
● 70+ laboratories</t>
  </si>
  <si>
    <t>● https://metaspace2020.eu/
● https://github.com/metaspace2020/pixel-annot-export</t>
  </si>
  <si>
    <t xml:space="preserve">https://github.com/metaspace2020/metaspace </t>
  </si>
  <si>
    <t xml:space="preserve">
● Apache Spark
● AWS cloud (c4.2xlarge instances)
● Python (pySpark)
● Vue.js (web app)
● PostgreSQL
● ElasticSearch
● GraphQL API</t>
  </si>
  <si>
    <t>● Spatial metabolomics research
● Cancer research
● Drug metabolism studies
● Organ-specific metabolite mapping
● Disease biomarker discovery</t>
  </si>
  <si>
    <t>Alexandrov, T., Ovchinnikova, K., Palmer, A., Kovalev, V., Tarasov, A., Stuart, L., ... &amp; Shahidi-Latham, S. (2019). METASPACE: A community-populated knowledge base of spatial metabolomes in health and disease. BioRxiv, 539478.</t>
  </si>
  <si>
    <t>metaX</t>
  </si>
  <si>
    <t>metaX: a flexible and comprehensive software for processing metabolomics data</t>
  </si>
  <si>
    <t>An R-based metabolomics data processing tool designed for LC/MS and GC/MS datasets. It automates peak picking, normalization, and statistical analysis, and provides a web-based interface</t>
  </si>
  <si>
    <t>● Comprehensive workflow (peak picking to pathway analysis)
● Multiple normalization methods (QC-RSC, SVR, PQN, VSN)
● Web-based interface for quality control
● Automated outlier detection
● HTML-based report generation
● Platform-independent (R package)</t>
  </si>
  <si>
    <t>● Requires R programming knowledge for advanced use
● Computationally intensive for very large datasets
● Limited to LC/MS and GC/MS data</t>
  </si>
  <si>
    <t>Bo, Wen, Zhanlong, Mei, Chunwei, Zeng, Siqi, Liu</t>
  </si>
  <si>
    <t>BMC Bioinformatics</t>
  </si>
  <si>
    <t>● Peak detection
● Missing value imputation
● Data normalization
● Outlier removal
● Statistical analysis (univariate and multivariate)
● Biomarker selection
● Metabolite identification
● Pathway analysis</t>
  </si>
  <si>
    <t>● XCMS (peak picking)
● CAMERA (peak annotation)
● KNN, BPCA, svdImpute, missForest (missing value imputation)
● QC-RSC, SVR, ComBat, PQN, VSN (normalization)
● PCA, PLS-DA, OPLS-DA
● Random Forest
● Support Vector Machine (SVM)
● Hotelling's T2 (outlier detection)
● Benjamini-Hochberg FDR</t>
  </si>
  <si>
    <t>● .mzXML files
● .csv peak tables (from Progenesis QI or similar)</t>
  </si>
  <si>
    <t>● Normalized data matrices
● Statistical analysis reports (HTML format)
● PCA/PLS-DA/OPLS-DA plots
● ROC curves
● Network files (.gml, .pajek)
● Metabolite annotations</t>
  </si>
  <si>
    <t>● False Discovery Rate (FDR)
● Coefficient of Variation (CV)
● R² (goodness of fit)
● Q² (predictive ability)
● AUROC
● VIP (Variable Importance in Projection)</t>
  </si>
  <si>
    <t>● PLS-DA: R²Y = 0.908, Q²Y = 0.854
● OPLS-DA: R²Y = 0.905, Q²Y = 0.847
● AUROC = 0.999 (8-feature biomarker model)
● SVR normalization: 1293 features with CV ≤ 30%</t>
  </si>
  <si>
    <t>● HMDB (version 3.6)
● KEGG
● MassBank
● PubChem
● LIPID MAPS
● MetaCyc
● PlantCyc</t>
  </si>
  <si>
    <t>● LC/MS metabolomics data
● GC/MS metabolomics data
● Peak intensity matrices
● Quality control (QC) samples</t>
  </si>
  <si>
    <t>● 138 plasma samples (59 CHD patients, 43 healthy controls, 36 QC)
● 1438 metabolite features
● 2 batches</t>
  </si>
  <si>
    <t xml:space="preserve">https://metax.genomics.cn/ </t>
  </si>
  <si>
    <t>● R package
● Web-based interface (Shiny application)
● Java (for web interface)</t>
  </si>
  <si>
    <t>● Metabolomics data normalization
● Biomarker discovery
● Coronary heart disease research
● Quality control assessment
● Pathway analysis</t>
  </si>
  <si>
    <t>Wen, B., Mei, Z., Zeng, C., &amp; Liu, S. (2017). metaX: a flexible and comprehensive software for processing metabolomics data. BMC Bioinformatics, 18(1), 183.</t>
  </si>
  <si>
    <t>MetFID</t>
  </si>
  <si>
    <t>MetFID: artificial neural network-based compound fingerprint prediction for metabolite annotation</t>
  </si>
  <si>
    <t>A deep-learning approach that utilizes artificial neural networks (ANNs) to predict molecular fingerprints from MS/MS spectra for more accurate metabolite annotation</t>
  </si>
  <si>
    <t>● Multi-class, multi-label approach predicts entire fingerprint at once
● Separate models for collision energy ranges enhance performance
● Outperforms MetFrag, ChemDistiller in benchmark tests
● Structure-disjoint validation using NIST, MoNA, CASMI datasets
● Validated with in-house cancer biomarker data</t>
  </si>
  <si>
    <t>● Computationally intensive (deep learning)
● Difficulty distinguishing structurally similar compounds
● Similar similarity scores across candidates reduce confidence
● Performance depends on fingerprint type selection</t>
  </si>
  <si>
    <t>Ziling Fan, Amber Alley, Kian Ghaffari, Habtom W. Ressom</t>
  </si>
  <si>
    <t>Metabolomics</t>
  </si>
  <si>
    <t>● Fingerprint prediction
● Metabolite annotation
● Ranking</t>
  </si>
  <si>
    <t>● Artificial Neural Network (ANN)
● Multi-class, multi-label learning
● Rectified Linear Unit (ReLU) activation
● Sigmoid activation (output layer)
● Binary cross-entropy loss</t>
  </si>
  <si>
    <t>● MS/MS spectra (binned vectors)</t>
  </si>
  <si>
    <t>● Molecular fingerprints (528-bit vectors)
● Ranked candidate lists
● Similarity scores</t>
  </si>
  <si>
    <t>● Fingerprint prediction accuracy: 93-94%
● F1 score: 64-71%
● Top-1 annotation accuracy: 50-57% (MetaboQuest)
● Top-1 annotation accuracy: 27% (NIST 17), 38% (CASMI 2016)</t>
  </si>
  <si>
    <t xml:space="preserve">● Accuracy: 93% (NIST 17)
● F1 Score: 64% </t>
  </si>
  <si>
    <t>● MoNA (MassBank of North America)
● NIST 17
● CASMI 2016
● MetaboQuest
● PubChem
● HMDB
● METLIN
● GNPS</t>
  </si>
  <si>
    <t xml:space="preserve">● Structured (MS/MS spectra) </t>
  </si>
  <si>
    <t>● 122,481 NIST 17 spectra
● 11,784 MoNA spectra
● 10,730 unique compounds (NIST 17)
● 5,667 unique compounds (MoNA)
● 15,228 total unique compounds
● 1,500 testing spectra
● 482 CASMI 2016 spectra
● 127 CASMI 2016 compounds
● 98 MS/MS spectra (in-house HCC study)</t>
  </si>
  <si>
    <t>https://mona.fiehnlab.ucdavis.edu/</t>
  </si>
  <si>
    <t>● Python
● Keras
● TensorFlow
● OpenBabel
● PubChemPy</t>
  </si>
  <si>
    <t>● Metabolite identification
● Metabolite annotation
● Cancer biomarker discovery
● LC-MS metabolomics
● GC-MS metabolomics</t>
  </si>
  <si>
    <r>
      <t xml:space="preserve">Fan, Z., Alley, A., Ghaffari, K., &amp; Ressom, H. W. (2020). MetFID: artificial neural network-based compound fingerprint prediction for metabolite annotation. </t>
    </r>
    <r>
      <rPr>
        <i/>
        <sz val="12"/>
        <color rgb="FF000000"/>
        <rFont val="Calibri"/>
        <family val="2"/>
        <scheme val="major"/>
      </rPr>
      <t>Metabolomics</t>
    </r>
    <r>
      <rPr>
        <sz val="12"/>
        <color rgb="FF000000"/>
        <rFont val="Calibri"/>
        <family val="2"/>
        <scheme val="major"/>
      </rPr>
      <t>, 16(10), 1-13.</t>
    </r>
  </si>
  <si>
    <t>MetFrag</t>
  </si>
  <si>
    <t>MetFrag-Improving MetFrag with statistical learning of fragment annotations</t>
  </si>
  <si>
    <t>A machine-learning-enhanced version of MetFrag (2.4.5) that integrates statistical scoring to improve molecular structure identification from MS/MS spectra</t>
  </si>
  <si>
    <t>● Integrates Bayesian statistical learning for fragment annotation 
● Improved ranking accuracy in CASMI 2016 dataset 
● Outperforms other methods in negative mode spectra</t>
  </si>
  <si>
    <t>● Requires computational expertise to utilize scoring weights effectively 
● Performance dependent on training dataset quality</t>
  </si>
  <si>
    <t>Christoph Ruttkies, Steffen Neumann, Stefan Posch</t>
  </si>
  <si>
    <t>● Prediction</t>
  </si>
  <si>
    <t>● Bayesian statistical model
● Mean posterior estimation
● Dirichlet distribution (prior)
● In silico fragmentation (bond disconnection)</t>
  </si>
  <si>
    <t>● MS/MS spectra (centroided)
● Candidate molecular structures
● Training spectra datasets</t>
  </si>
  <si>
    <t>● Ranked candidate list
● Consensus scores
● Fragment-structure assignments</t>
  </si>
  <si>
    <t>● Top-1 ranking improvement 
● Mean rank reduction</t>
  </si>
  <si>
    <t>● Top-1: 21/87 (24.1%)
● Top-3: 38/87 (43.7%)
● Top-10: 55/87 (63.2%)
● Mean rank: 34.6
● Median rank: 5</t>
  </si>
  <si>
    <t>● MassBank of North America (MoNA)
● GNPS (Global Natural Products Social Molecular Networking)
● CASMI 2016 contest data
● PubChem</t>
  </si>
  <si>
    <t>● Structured (MS/MS spectra)</t>
  </si>
  <si>
    <t>● 5,622 training spectra (4,728 positive mode, 884 negative mode)
● 87 test spectra (CASMI 2016)
● 208 total CASMI 2016 spectra (121 used in training by participants)</t>
  </si>
  <si>
    <t>● https://github.com/c-ruttkies/metfrag_statistical_annotation
● http://www.casmi-contest.org/2016/index.shtml</t>
  </si>
  <si>
    <t xml:space="preserve">https://github.com/ipb-halle/MetFragRelaunched </t>
  </si>
  <si>
    <t>● Java (command-line tool MetFrag 2.4.5)
● Web interface (https://msbi.ipb-halle.de/MetFrag)
● CDK (Chemistry Development Kit) version 2.1</t>
  </si>
  <si>
    <t xml:space="preserve">● Molecular structure identification 
● Metabolite annotation </t>
  </si>
  <si>
    <r>
      <t xml:space="preserve">Ruttkies, C., Neumann, S., &amp; Posch, S. (2019). Improving MetFrag with statistical learning of fragment annotations. </t>
    </r>
    <r>
      <rPr>
        <i/>
        <sz val="12"/>
        <color rgb="FF000000"/>
        <rFont val="Calibri"/>
        <family val="2"/>
        <scheme val="major"/>
      </rPr>
      <t>BMC Bioinformatics</t>
    </r>
    <r>
      <rPr>
        <sz val="12"/>
        <color rgb="FF000000"/>
        <rFont val="Calibri"/>
        <family val="2"/>
        <scheme val="major"/>
      </rPr>
      <t>, 20(1), 1-14.</t>
    </r>
  </si>
  <si>
    <t>MINEs</t>
  </si>
  <si>
    <t>MINEs: open access databases of computationally predicted enzyme promiscuity products for untargeted metabolomics</t>
  </si>
  <si>
    <t>Expanding known metabolite databases using computational methods to predict new compounds and improve untargeted metabolomics analysis</t>
  </si>
  <si>
    <t>● 571,000+ predicted compounds with 93% not in PubChem
● Higher Natural Product likeness than KEGG or PubChem compounds
● 98.6% annotation rate for MassBank spectra
● Lower candidate numbers per spectrum (46 vs 1715 for PubChem)
● Web interface and developer-friendly APIs available</t>
  </si>
  <si>
    <t>● Predicted compounds require experimental verification
● 66.8% correct annotation rate lower than PubChem (89.8%)
● Limited to enzyme-catalyzed reactions
● No spontaneous chemical reactions included
● Requires further filtering and prioritization methods</t>
  </si>
  <si>
    <t>James G., Jeffryes, Ricardo L., Colastani, Mona, Elbadawi-Sidhu, Tobias, Kind, Thomas D., Niehaus, Linda J., Broadbelt, Andrew D., Hanson, Oliver, Fiehn, Keith E. J., Tyo, Christopher S., Henry</t>
  </si>
  <si>
    <t xml:space="preserve">● Annotation of accurate mass datasets
● Compound identification in untargeted metabolomics </t>
  </si>
  <si>
    <t>● Rule-Based Prediction (BNICE method)
● Reaction-based Modeling</t>
  </si>
  <si>
    <t>● SMILES strings
● InChI strings
● Mass-to-charge ratios (m/z values)</t>
  </si>
  <si>
    <t>● .SDF files
● SMILES strings
● InChIKey strings
● .CSV files</t>
  </si>
  <si>
    <t>● Feature annotation rate
● Correct annotation presence rate
● Median number of candidates per spectrum
● Database size (fold increase)</t>
  </si>
  <si>
    <t>● Annotation rate: 98.6% (MassBank spectra)
● Correct annotation: 66.8%
● Median candidates: 46 per spectrum
● KEGG MINE size: 571,368 compounds (43-fold increase)</t>
  </si>
  <si>
    <t>● KEGG COMPOUND (Release 68.0)
● YMDB (Version 1.0)
● EcoCyc (Version 17.0)
● PubChem
● MassBank</t>
  </si>
  <si>
    <t>● Numerical Data (Mass-to-Charge Ratios, Retention Times)
● Graph Data (Chemical Structures, Metabolic Networks)</t>
  </si>
  <si>
    <t>● KEGG MINE: 571,368 compounds
● EcoCyc MINE: 54,719 compounds
● YMDB MINE: 100,755 compounds
● 198 generalized reaction rules
● 667 MassBank test compounds</t>
  </si>
  <si>
    <t>https://minedatabase.mcs.anl.gov/#/home</t>
  </si>
  <si>
    <t xml:space="preserve">https://github.com/JamesJeffryes/MINE-API </t>
  </si>
  <si>
    <t>● Web interface
● Python API
● Perl API
● JavaScript API
● MongoDB (v2.6.2)</t>
  </si>
  <si>
    <t>● Untargeted metabolomics peak annotation
● LC-MS accurate mass data analysis
● Metabolite identification
● Unknown compound prediction
● Biochemical pathway exploration</t>
  </si>
  <si>
    <r>
      <t>Jeffryes, J. G., Colastani, R. L., Elbadawi-Sidhu, M., Kind, T., Niehaus, T. D., Broadbelt, L. J., ... &amp; Henry, C. S. (2015). MINEs: open access databases of computationally predicted enzyme promiscuity products for untargeted metabolomics. </t>
    </r>
    <r>
      <rPr>
        <i/>
        <sz val="12"/>
        <color rgb="FF222222"/>
        <rFont val="Calibri"/>
        <family val="2"/>
        <scheme val="major"/>
      </rPr>
      <t>Journal of cheminformatics</t>
    </r>
    <r>
      <rPr>
        <sz val="12"/>
        <color rgb="FF222222"/>
        <rFont val="Calibri"/>
        <family val="2"/>
        <scheme val="major"/>
      </rPr>
      <t>, </t>
    </r>
    <r>
      <rPr>
        <i/>
        <sz val="12"/>
        <color rgb="FF222222"/>
        <rFont val="Calibri"/>
        <family val="2"/>
        <scheme val="major"/>
      </rPr>
      <t>7</t>
    </r>
    <r>
      <rPr>
        <sz val="12"/>
        <color rgb="FF222222"/>
        <rFont val="Calibri"/>
        <family val="2"/>
        <scheme val="major"/>
      </rPr>
      <t>, 1-8.‏</t>
    </r>
  </si>
  <si>
    <t>mixOmics</t>
  </si>
  <si>
    <t>mixOmics: An R package for 'omics feature selection and multiple data integration</t>
  </si>
  <si>
    <t>mixOmics is a multivariate analysis package for exploring, mining, integrating, and visualizing large biological datasets, particularly in 'omics research. It offers supervised and unsupervised learning methods for dimensionality reduction, classification, and molecular signature identification</t>
  </si>
  <si>
    <t>● Provides integration for multiple 'omics datasets (N-integration and P-integration) 
● Supports both supervised and unsupervised learning 
● Includes sparse methods for feature selection 
● Offers various graphical visualizations 
● User-friendly R package</t>
  </si>
  <si>
    <t>● Computationally demanding for large datasets 
● Requires parameter tuning, which can be intensive 
● Needs preprocessing and normalization of data 
● Feature selection and performance depend on the chosen grid values</t>
  </si>
  <si>
    <t>Florian, Rohart, Benoît, Gautier, Amrit, Singh, Kim-Anh, Lê Cao</t>
  </si>
  <si>
    <t>PLoS Computational Biology</t>
  </si>
  <si>
    <t xml:space="preserve">● Classification 
● Feature Selection 
● Dimensionality Reduction 
● Data Integration </t>
  </si>
  <si>
    <t>● Supervised Learning (PLS-DA, sPLS-DA) 
● Unsupervised Learning (PCA, IPCA, ICA) 
● Canonical Correlation Analysis (rCCA, rGCCA) 
● Transfer Learning (MINT, DIABLO)</t>
  </si>
  <si>
    <t>● Normalized 'omics data (continuous)
● Data matrices (N samples × P features)</t>
  </si>
  <si>
    <t>● Selected feature signatures
● Sample plots
● Variable plots
● Clustered image maps
● Network visualizations
● ROC curves</t>
  </si>
  <si>
    <t>● Misclassification Error Rate 
● Balanced Error Rate (BER) 
● Receiver Operating Characteristic (ROC) Curve 
● Area Under the Curve (AUC)</t>
  </si>
  <si>
    <t xml:space="preserve">● BER: 0.39 (MINT sPLS-DA) 
● BER: 0.37 (MINT PLS-DA, no feature selection) 
● AUC: Used to assess classifier discriminative ability	 </t>
  </si>
  <si>
    <t>● SRBCT dataset (included in package)
● Breast cancer TCGA dataset (included in package)
● Stem cell transcriptomics dataset (included in package)</t>
  </si>
  <si>
    <t xml:space="preserve">● Structured (tabular, numerical) 
● Semi-structured (RNA-seq count data) </t>
  </si>
  <si>
    <t>● SRBCT: 63 samples, 2,308 genes
● Breast cancer: 150 samples, 200 mRNA + 184 miRNA + 142 proteomics features
● Stem cells: 125 samples, 400 genes</t>
  </si>
  <si>
    <t xml:space="preserve">https://mixomics.org/ </t>
  </si>
  <si>
    <t>https://cran.r-project.org/web/packages/mixOmics/index.html</t>
  </si>
  <si>
    <t>● R package (CRAN)
● install.packages("mixOmics")</t>
  </si>
  <si>
    <t>● Biomarker Discovery 
● Disease Classification 
● Multi-omics Data Analysis 
● Data Integration in Biology</t>
  </si>
  <si>
    <r>
      <t xml:space="preserve">Rohart, F., Gautier, B., Singh, A., &amp; Lê Cao, K. A. (2017). mixOmics: An R package for 'omics feature selection and multiple data integration. </t>
    </r>
    <r>
      <rPr>
        <i/>
        <sz val="12"/>
        <color rgb="FF000000"/>
        <rFont val="Calibri"/>
        <family val="2"/>
        <scheme val="major"/>
      </rPr>
      <t>PLOS Computational Biology, 13</t>
    </r>
    <r>
      <rPr>
        <sz val="12"/>
        <color rgb="FF000000"/>
        <rFont val="Calibri"/>
        <family val="2"/>
        <scheme val="major"/>
      </rPr>
      <t>(11), e1005752.</t>
    </r>
  </si>
  <si>
    <t>MMIP</t>
  </si>
  <si>
    <t>Microbiome Metabolome Integration Platform (MMIP): a web-based platform for microbiome and metabolome data integration and feature identification</t>
  </si>
  <si>
    <t>A web-based analytical and predictive tool integrating microbiome and metabolome data to describe taxonomy, diversity, and metabolic potential between microbial communities</t>
  </si>
  <si>
    <t>● User-friendly web interface
● Comprehensive analysis (taxonomy, diversity, metabolic pathways)
● Supervised learning-based feature linking
● Supports real-time metabolomic data correlation (MMIP-MASS)
● Job queue system for analysis management</t>
  </si>
  <si>
    <t>● Requires Greengenes OTU table only
● Predicted metabolites need experimental validation
● Not all predicted features are statistically significant
● Preliminary hypothesis generation only</t>
  </si>
  <si>
    <t>Anupam Gautam, Debaleena Bhowmik, Sayantani Basu, Abhishake Lahiri, Wenhuan Zeng, Sandip Paul</t>
  </si>
  <si>
    <t xml:space="preserve">bioRxiv </t>
  </si>
  <si>
    <t xml:space="preserve">● Prediction 
● Classification 
● Correlation Analysis </t>
  </si>
  <si>
    <t xml:space="preserve">● Supervised Learning (Support Vector Machine - SVM) 
● Statistical Analysis (ANOVA, t-test) 
● Metagenomic Function Prediction (PICRUSt) </t>
  </si>
  <si>
    <t>● .biom files (OTU table)
● Metadata file (QIIME format)
● .txt files (metabolic feature table)</t>
  </si>
  <si>
    <t>● Predicted metabolic pathways
● CMP score matrix
● Visualizations (plots, charts)
● Downloadable files</t>
  </si>
  <si>
    <t>● ROC-AUC for SVM 
● Mantel Test for correlation</t>
  </si>
  <si>
    <t xml:space="preserve">● ROC-AUC threshold: 0.7 
● Mantel correlation range: -1 to +1 </t>
  </si>
  <si>
    <t>● KEGG
● Greengenes 16S database
● NCBI BioProject (PRJNA275907, PRJNA397112)</t>
  </si>
  <si>
    <t xml:space="preserve">● Structured (OTU table, Metadata) 
● Semi-structured (KEGG pathway data) 
● Numerical (CMP score) </t>
  </si>
  <si>
    <t>● Validation study 1: 60 samples (40 BV+, 20 BV-)
● Validation study 2: 92 samples (57 omnivorous, 35 vegetarian)
● 108 metabolites reported in validation study 1
● 52 overlapping metabolites predicted by MMIP</t>
  </si>
  <si>
    <t>https://www.biorxiv.org/content/10.1101/2023.04.04.535534v3</t>
  </si>
  <si>
    <t>https://github.com/websandip/mmip</t>
  </si>
  <si>
    <t>● JavaScript
● Python
● R
● Web-based platform</t>
  </si>
  <si>
    <t xml:space="preserve">● Microbial community analysis 
● Metabolic pathway prediction </t>
  </si>
  <si>
    <t>Gautam, A., Bhowmik, D., Basu, S., Zeng, W., Lahiri, A., Huson, D. H., &amp; Paul, S. (2023). Microbiome Metabolome Integration Platform (MMIP): a web-based platform for microbiome and metabolome data integration and feature identification. Briefings in Bioinformatics, 24(6), bbad325.‏</t>
  </si>
  <si>
    <t>MoleculeKit</t>
  </si>
  <si>
    <t>MoleculeKit: Machine Learning Methods for Molecular Property Prediction and Drug Discovery</t>
  </si>
  <si>
    <t>A suite of machine learning tools for molecular property prediction and drug discovery using graph-based and sequence-based models</t>
  </si>
  <si>
    <t>● Comprehensive machine learning approach with both deep and traditional methods
● Novel deep learning models (ML-MPNN and Contrastive-BERT) for molecular graphs and sequences
● Successfully applied in drug discovery and molecular property prediction</t>
  </si>
  <si>
    <t>● Does not incorporate 3D coordinate information, which could improve molecular predictions</t>
  </si>
  <si>
    <t>Pre-print paper</t>
  </si>
  <si>
    <t>Zhengyang Wang, Meng Liu, Youzhi Luo, Zhao Xu, Yaochen Xie, Limei Wang, Lei Cai, Shuiwang Ji</t>
  </si>
  <si>
    <t>arXiv</t>
  </si>
  <si>
    <t>● Property prediction
● Binary classification
● Regression</t>
  </si>
  <si>
    <t>● Graph Neural Networks (GNN)
● Message Passing Neural Networks (MPNN)
● Transformer
● BERT
● Kernel Methods (Weisfeiler-Lehman, Subsequence)
● Support Vector Machine (SVM)
● Contrastive Learning</t>
  </si>
  <si>
    <t xml:space="preserve">● Molecular graphs (.pdb, .mol)
● SMILES sequences (.smi, .txt) </t>
  </si>
  <si>
    <t xml:space="preserve">● Molecular property predictions (structured tables) </t>
  </si>
  <si>
    <t xml:space="preserve">● ROC-AUC
● PRC-AUC
● MAE/RMSE </t>
  </si>
  <si>
    <t xml:space="preserve">● 0.928 ROC-AUC (AI Cures Challenge)
● 0.919 ROC-AUC (Drug Repurposing Hub) </t>
  </si>
  <si>
    <t>● ZINC
● Drug Repurposing Hub
● MoleculeNet
● ChEMBL
● PubChem</t>
  </si>
  <si>
    <t>● Structured (CSV, SQL)
● Semi-Structured (SMILES, JSON)</t>
  </si>
  <si>
    <t>● 2,000,000 molecules (ZINC pre-training)
● 2,335 molecules (AI Cures training)
● 238 molecules (AI Cures test)
● 162 molecules (Drug Repurposing Hub test)
● 14 datasets (MoleculeNet benchmarks)</t>
  </si>
  <si>
    <t>● AI Cures Open Challenge: 
https://www.aicures.mit.edu/data
● Antibiotic Discovery Data: https://www.sciencedirect.com/science/article/pii/S0092867420301021
● MoleculeNets Benchmarks: 
http://deepchem.io/datasets/MolNet_bkp.zip
http://deepchem.io/trained_models/Hyperparameter_MoleculeNetv3.tar.gz
● ZINC30 Dataset: 
http://snap.stanford.edu/gnn-pretrain/data/chem_dataset.zip
● MoleculeNet Benchmark Collection: https://github.com/divelab/MoleculeKit/tree/master/moleculekit/datasets</t>
  </si>
  <si>
    <t>https://github.com/divelab/MoleculeKit</t>
  </si>
  <si>
    <t>● Python
● PyTorch
● PyTorch Geometric</t>
  </si>
  <si>
    <t xml:space="preserve">● Drug discovery
● Molecular screening
● Cheminformatics analysis	</t>
  </si>
  <si>
    <t>Wang, Z., Liu, M., Luo, Y., Xu, Z., Xie, Y., Wang, L., Cai, L., &amp; Ji, S. (2020). MoleculeKit: Machine Learning Methods for Molecular Property Prediction and Drug Discovery. arXiv preprint arXiv:2012.01981.</t>
  </si>
  <si>
    <t>MPACT</t>
  </si>
  <si>
    <t>Peak Analysis Computational Tool (MPACT): An Advanced Informatics Tool for Metabolomics and Data Visualization of Molecules from Complex Biological Samples</t>
  </si>
  <si>
    <t>MPACT is a computational tool for analyzing metabolomics data, improving feature selection, data quality, and visualization in mass spectrometry (MS)-based studies</t>
  </si>
  <si>
    <t>● Multi-modal filtering (reproducibility, blanks, in-source fragments, mispicked peaks)
● Multilevel replication with error propagation
● Interactive data visualization
● Improved feature prioritization
● Open-source with prepopulated parameters</t>
  </si>
  <si>
    <t>● Requires high-quality preprocessing
● Computational resource-intensive for large datasets
● Some features may require manual verification
● Learning curve for optimal parameter selection</t>
  </si>
  <si>
    <t>Robert M. Samples, Sara P. Puckett, Marcy J. Balunas</t>
  </si>
  <si>
    <t>● Feature Selection 
● Data Visualization 
● Annotation</t>
  </si>
  <si>
    <t xml:space="preserve">
● Coefficient of variation (CV) filtering
● Pearson correlation matrix analysis
● Welch's t-test with error propagation
● Welch-Satterthwaite equation
● Benjamini-Hochberg FDR correction
● Ward's hierarchical clustering
● Non-metric multidimensional scaling (NMDS)
● Bootstrap analysis</t>
  </si>
  <si>
    <t>● Peak tables (.csv)
● .msp fragment databases
● Sample lists (.csv)
● Metadata files (.csv)</t>
  </si>
  <si>
    <t>● Filtered peak lists
● Volcano plots
● Heat maps
● Dendrograms
● NMDS plots
● Mass defect plots
● Interactive visualizations</t>
  </si>
  <si>
    <t>● Median CV among replicates
● Feature overlap rate
● FDR
● Statistical significance (p-value)
● Fold change
● Pearson correlation coefficient</t>
  </si>
  <si>
    <t>● Feature overlap: 10% among 4 workflows (literature)
● Blank features: 29.6% filtered
● Mispicked peaks: 5.4% filtered
● Nonreproducible features: 23.0% filtered
● In-source fragments: 22.3% filtered
● High-quality features retained: 19.7%</t>
  </si>
  <si>
    <t>● NPAtlas
● MASST database</t>
  </si>
  <si>
    <t xml:space="preserve">● Structured (Mass Spectra Tables) 
● Semi-Structured (Spectral Data) </t>
  </si>
  <si>
    <t xml:space="preserve">
● 4,966 features (initial)
● 979 high-quality features (after filtering)
● 3 biological replicates
● 3 technical replicates per sample</t>
  </si>
  <si>
    <t xml:space="preserve">https://pubs.acs.org/doi/suppl/10.1021/acs.analchem.2c04632/suppl_file/ac2c04632_si_001.pdf </t>
  </si>
  <si>
    <t xml:space="preserve">https://github.com/BalunasLab/mpact </t>
  </si>
  <si>
    <t>● Python
● Qt-based user interface</t>
  </si>
  <si>
    <t xml:space="preserve">● Metabolomics Data Processing
● Compound Annotation </t>
  </si>
  <si>
    <r>
      <t xml:space="preserve">Samples, R. M., Puckett, S. P., &amp; Balunas, M. J. (2023). Metabolomics Peak Analysis Computational Tool (MPACT): An Advanced Informatics Tool for Metabolomics and Data Visualization of Molecules from Complex Biological Samples. </t>
    </r>
    <r>
      <rPr>
        <i/>
        <sz val="12"/>
        <color rgb="FF000000"/>
        <rFont val="Calibri"/>
        <family val="2"/>
        <scheme val="major"/>
      </rPr>
      <t>Analytical Chemistry, 95</t>
    </r>
    <r>
      <rPr>
        <sz val="12"/>
        <color rgb="FF000000"/>
        <rFont val="Calibri"/>
        <family val="2"/>
        <scheme val="major"/>
      </rPr>
      <t>(22), 8770-8779.</t>
    </r>
  </si>
  <si>
    <t>mpwR</t>
  </si>
  <si>
    <t>mpwR: an R package for comparing performance of mass spectrometry-based proteomic workflows</t>
  </si>
  <si>
    <t>mpwR is an R package designed for Standardised comparison of mass spectrometry-based proteomic workflows, enabling evaluation of sample preparation methods, LC-MS setups, and software performance</t>
  </si>
  <si>
    <t>● Supports both DDA and DIA data
● Compatible with multiple software (MaxQuant, Proteome Discoverer, Spectronaut, DIA-NN)
● User-friendly RMarkdown templates
● Modular structure for customization
● Integrable into R Shiny dashboards
● Open-source and well-documented</t>
  </si>
  <si>
    <t>● Requires pre-processed MS software outputs
● Limited to label-free bottom-up proteomics
● Requires R knowledge for advanced customization
● Computational resources needed for large-scale comparisons</t>
  </si>
  <si>
    <t>Oliver Kardell, Stephan Breimann, Stefanie M. Hauck</t>
  </si>
  <si>
    <t>● Performance Evaluation
● Workflow Comparison
● Data Integration
● Quality Control</t>
  </si>
  <si>
    <t>● Statistical Analysis
● Data Visualization (boxplots, stacked bar plots, cumulative density plots, upset plots, radar charts)
● Comparative Analysis
● Coefficient of Variation (CV) calculation</t>
  </si>
  <si>
    <t>● Number of identifications (precursor, peptide, protein, protein group level)
● Data completeness
● Number of missed cleavages
● Quantitative precision (CV)
● Retention time precision</t>
  </si>
  <si>
    <t>● Workflow-dependent identification rates
● Software-dependent quantitative precision
● Comparative analysis across unlimited workflows</t>
  </si>
  <si>
    <t xml:space="preserve">● Structured (Tabular Data from MS Analysis) 
● Numerical (Peak Intensity, Mass-to-Charge Ratios) </t>
  </si>
  <si>
    <t>● CRAN: 
https://CRAN.R-project.org/package=mpwR
● GitHub: 
https://github.com/okdll/mpwR
● Documentation: 
https://okdll.github.io/mpwR/</t>
  </si>
  <si>
    <t>https://github.com/okdll/mpwR</t>
  </si>
  <si>
    <t>● R Package (mpwR)</t>
  </si>
  <si>
    <t>● Proteomics Workflow Evaluation
● Optimization</t>
  </si>
  <si>
    <r>
      <t xml:space="preserve">Kardell, O., Breimann, S., &amp; Hauck, S. M. (2023). mpwR: an R package for comparing performance of mass spectrometry-based proteomic workflows. </t>
    </r>
    <r>
      <rPr>
        <i/>
        <sz val="12"/>
        <color rgb="FF000000"/>
        <rFont val="Calibri"/>
        <family val="2"/>
        <scheme val="major"/>
      </rPr>
      <t>Bioinformatics</t>
    </r>
    <r>
      <rPr>
        <sz val="12"/>
        <color rgb="FF000000"/>
        <rFont val="Calibri"/>
        <family val="2"/>
        <scheme val="major"/>
      </rPr>
      <t>, 39(7), btad434.</t>
    </r>
  </si>
  <si>
    <t xml:space="preserve"> MSEDIA </t>
  </si>
  <si>
    <t>Integrative open workflow for confident annotation and molecular networking of metabolomics MSE/DIA data</t>
  </si>
  <si>
    <t>Open-source integrated workflow for processing LC-HRMS-MSE/DIA data using universal .mzML format and open software tools (KNIME, MZmine 3, MS-DIAL, GNPS) to enable confident metabolite annotation and molecular networking with custom in-house databases</t>
  </si>
  <si>
    <t>● Uses universal .mzML format for data compatibility
● Entirely open-source software pipeline
● Automated custom database generation via KNIME
● Enables confident annotation at MSI levels 2 and 3
● Successfully validated with two independent datasets</t>
  </si>
  <si>
    <t>● Waters2mzML limited to Windows operating systems
● MZmine 3 DIA algorithms still experimental
● MS-DIAL processing slower than MZmine 3
● Requires manual parameter optimization
● DIA data complexity demands careful GNPS parameter tuning</t>
  </si>
  <si>
    <t>Katchborian-Neto, A., Alves, M.F., Bueno, P.C., de Jesus Nicácio, K., Ferreira, M.S., Oliveira, T.B., Barbosa, H., Murgu, M., de Paula Ladvocat, A.C., Dias, D.F. and Soares, M.G</t>
  </si>
  <si>
    <t>Briefings in Bioinformatics</t>
  </si>
  <si>
    <t>● Chemical annotation
● Metabolite identification
● Molecular networking generation
● Custom database construction
● Data format conversion</t>
  </si>
  <si>
    <t>● KNIME workflow for database generation
● Waters2mzML for data conversion
● MZmine 3 for MS1 processing
● MS-DIAL 4.9 with MS2dec algorithm
● Feature-Based Molecular Networking (FBMN)</t>
  </si>
  <si>
    <t>● .RAW files (Waters)
● .mol files
● .mol2 files
● .sdf files
● .csv tables (SMILES, InChIKey, CAS, IUPAC)</t>
  </si>
  <si>
    <t>● .mzML files
● .csv tables
● .txt files
● .mgf spectra files
● .xlsx reports</t>
  </si>
  <si>
    <t>● Number of detected features
● Number of annotated metabolites
● Annotation confidence level (MSI levels 2 and 3)
● Processing time
● Spectral matching accuracy</t>
  </si>
  <si>
    <t>● Dataset 1: 18,805 features (positive mode), 23,304 features (negative mode)
● Dataset 1: 66 metabolites annotated (level 2 confidence)
● Dataset 2: 18 high-abundance standards detected
● Dataset 2: 16 low-abundance standards detected
● KNIME workflow runtime: 63-84 seconds</t>
  </si>
  <si>
    <t>● GNPS spectral libraries
● MassBank of North America (MoNA)
● IQAMDB
● NIH Natural Products library
● npatlas database</t>
  </si>
  <si>
    <t>● LC-HRMS-MSE/DIA mass spectrometry data
● Chemical structure data
● Metabolomics feature tables
● MS/MS spectra
● Molecular networking graphs</t>
  </si>
  <si>
    <t>● Dataset 1: 71 samples (60 Ocotea extracts, 4 QCs, 4 blanks, 3 replicates)
● Dataset 2: 17 samples (actinobacterial extract with replicates and blanks)
● OcoteaDB: 492 molecular structures
● ActinomarineDB: 6,481 natural products
● Dataset 1 conversion time: 36 hours</t>
  </si>
  <si>
    <t>● ftp://MSV000093006@massive.ucsd.edu
● https://zenodo.org/records/10383866
● MassIVE repository: MSV000093006
● Dataset 2: MSV000088316</t>
  </si>
  <si>
    <t xml:space="preserve">
● https://github.com/AnP311/Waters2mzML
● https://hub.knime.com/-/spaces/-/~8bZEbbknV8tVptea/current-state/
● MZmine 3: https://mzmine.github.io/
● MS-DIAL: http://prime.psc.riken.jp/compms/msdial/main.html
● GNPS: https://gnps.ucsd.edu/</t>
  </si>
  <si>
    <t>● KNIME (version 4.6.5)
● Python-based wrapper (Waters2mzML)
● MZmine 3.4.27
● MS-DIAL 4.9.2
● Cytoscape (version 3.8.2)</t>
  </si>
  <si>
    <t>● Plant metabolomics
● Microbial metabolomics
● Natural product discovery
● Drug discovery
● Chemical diversity profiling</t>
  </si>
  <si>
    <t>Katchborian-Neto, A., Alves, M. F., Bueno, P. C., de Jesus Nicácio, K., Ferreira, M. S., Oliveira, T. B., Barbosa, H., Murgu, M., de Paula Ladvocat, A. C., Dias, D. F., Soares, M. G., Lago, J. H., &amp; Chagas-Paula, D. A. (2024). Integrative open workflow for confident annotation and molecular networking of metabolomics MSE/DIA data. Briefings in Bioinformatics, 25(2), bbae013. https://doi.org/10.1093/bib/bbae013</t>
  </si>
  <si>
    <t>MS2DeepScore</t>
  </si>
  <si>
    <t>MS2DeepScore: a novel deep learning similarity measure to compare tandem mass spectra</t>
  </si>
  <si>
    <t>Siamese neural network trained to predict structural similarity (Tanimoto scores) between molecules directly from their MS/MS fragmentation spectra without requiring chemical structure or metadata</t>
  </si>
  <si>
    <t>● High prediction accuracy (RMSE ~0.15, MAE ~0.12)
● Fast and scalable for large-scale comparisons
● No metadata required (only m/z and intensities)
● Monte-Carlo Dropout for uncertainty estimation
● Open-source Python library with easy installation</t>
  </si>
  <si>
    <t>● Computational only (no lab validation)
● Model uncertainty exists for data unlike training set
● Less precise for highest/lowest Tanimoto scores
● Dataset bias toward certain compound classes
● Lacks intuitive explanation for predictions</t>
  </si>
  <si>
    <t>Huber, Florian, Sven van der Burg, Justin JJ van der Hooft, and Lars Ridder</t>
  </si>
  <si>
    <t>● Prediction (structural similarity scores)
● Classification (high/mid/low similarity pairs)
● Clustering (mass spectral embeddings)</t>
  </si>
  <si>
    <t>● Siamese neural network
● Monte-Carlo Dropout (ensemble learning)
● Deep learning (supervised)
● t-SNE (for visualization)</t>
  </si>
  <si>
    <t>● MS/MS spectra (binned m/z and intensities)
● SMILES strings
● InChI strings</t>
  </si>
  <si>
    <t>● Tanimoto scores (predicted)
● Dice scores (predicted)
● Spectral embeddings (200-dimensional vectors)
● Uncertainty estimates (IQR)</t>
  </si>
  <si>
    <t>● RMSE (root mean squared error)
● MAE (mean absolute error)
● Precision
● Recall
● Pearson correlation</t>
  </si>
  <si>
    <t>● RMSE: ~0.15 (overall)
● RMSE: ~0.1 (with IQR&lt;0.025 filtering)
● MAE: ~0.12
● Precision/Recall: superior to modified Cosine and Spec2Vec</t>
  </si>
  <si>
    <t>● GNPS
● PubChem</t>
  </si>
  <si>
    <t xml:space="preserve">
● MS/MS spectra (positive ionization mode)
● Molecular fingerprints (RDKit Daylight 2048bit, Morgan-2, Morgan-3)
● InChIKeys
● SMILES
● InChI</t>
  </si>
  <si>
    <t>● 109,734 MS/MS spectra
● 15,062 unique InChIKeys
● Training: 102,536 spectra (14,062 InChIKeys)
● Validation: 3,597 spectra (500 InChIKeys)
● Test: 3,601 spectra (500 InChIKeys)</t>
  </si>
  <si>
    <t>● https://zenodo.org/record/4699300</t>
  </si>
  <si>
    <t>● https://github.com/matchms/ms2deepscore</t>
  </si>
  <si>
    <t>● Python library (Python 3.7, 3.8)
● TensorFlow/Keras
● Integrated with matchms
● pip installable</t>
  </si>
  <si>
    <t xml:space="preserve">
● Metabolomics data processing
● Spectral library matching
● Analogue searching
● Molecular networking
● Mass spectral clustering
● Compound identification
● Drug discovery</t>
  </si>
  <si>
    <t>Huber, F., van der Burg, S., van der Hooft, J. J., &amp; Ridder, L. (2021). MS2DeepScore: a novel deep learning similarity measure to compare tandem mass spectra. Journal of cheminformatics, 13(1), 84.‏</t>
  </si>
  <si>
    <t>Mzmine</t>
  </si>
  <si>
    <t>Integrative analysis of multimodal mass spectrometry data in MZmine 3</t>
  </si>
  <si>
    <t>Open-source software platform for processing and integrating multimodal mass spectrometry data from LC-MS, GC-MS, IMS-MS, and MS imaging with enhanced scalability and reproducibility</t>
  </si>
  <si>
    <t>● Open-source with MIT license
● Cross-platform (Windows, macOS, Linux)
● 89% reduction in processing time vs MZmine 2
● Integrates multiple MS modalities (LC-MS, GC-MS, IMS-MS, imaging)
● Strong community support (48 contributors, 92,000+ downloads)</t>
  </si>
  <si>
    <t>● Requires understanding of multiple MS techniques
● Learning curve for new users despite tutorials
● Memory-intensive for very large datasets
● Manual parameter optimization needed for best results</t>
  </si>
  <si>
    <t>Protocol paper</t>
  </si>
  <si>
    <t>Robin Schmid, Tomáš Pluskal</t>
  </si>
  <si>
    <t>Nature Protocols</t>
  </si>
  <si>
    <t xml:space="preserve">
● Feature detection
● Peak shape resolution
● Feature alignment
● Compound annotation
● Molecular networking
● Spatial metabolomics analysis</t>
  </si>
  <si>
    <t>● Multidimensional feature detection (RT, ion mobility, m/z)
● Memory-mapped data processing
● Parallel computation
● Interactive visualization</t>
  </si>
  <si>
    <t>● mzML
● mzXML
● Vendor-specific formats
● imzML</t>
  </si>
  <si>
    <t>● Feature tables
● .mgf files
● .csv files
● Network files (GNPS)
● Annotation reports</t>
  </si>
  <si>
    <t>● Processing time reduction
● Sample throughput
● Memory efficiency</t>
  </si>
  <si>
    <t>● 89% reduction in processing time (250 samples vs MZmine 2)
● 0.1-0.3% of total acquisition time (6 LC-MS datasets)
● 47 min for 8,273 fecal LC-MS² samples</t>
  </si>
  <si>
    <t>● MassIVE/GNPS
● MetaboLights
● Metabolomics Workbench
● SIRIUS
● MetaboAnalyst</t>
  </si>
  <si>
    <t>● Structured (Tabular CSV, MGF spectral files)</t>
  </si>
  <si>
    <t>● 8,273 fecal LC-MS² samples
● 250 dissolved organic matter samples
● Multiple LC-IMS-MS and IMS-MS imaging datasets</t>
  </si>
  <si>
    <t>● https://massive.ucsd.edu/ProteoSAFe/dataset.jsp?accession=MSV000091634
● https://www.ebi.ac.uk/metabolights/editor/MTBLS265/descriptors
● https://www.metabolomicsworkbench.org/data/show_archive_contents_link.php?STUDY_ID=ST000981</t>
  </si>
  <si>
    <t xml:space="preserve">https://github.com/mzmine/mzmine </t>
  </si>
  <si>
    <t xml:space="preserve">
● Cross-platform software (Windows, macOS, Linux)
● MIT license
● GitHub repository
● Modular design</t>
  </si>
  <si>
    <t xml:space="preserve">
● Metabolomics
● Spatial metabolomics
● Clinical studies
● Environmental research
● Lipidomics
● Natural products research</t>
  </si>
  <si>
    <t>Schmid, R., Heuckeroth, S., Korf, A., Smirnov, A., Myers, O., Dyrlund, T. S., ... &amp; Pluskal, T. (2023). Integrative analysis of multimodal mass spectrometry data in MZmine 3. Nature biotechnology, 41(4), 447-449.‏</t>
  </si>
  <si>
    <t>mzML2ISA</t>
  </si>
  <si>
    <t>mzML2ISA &amp; nmrML2ISA: generating enriched ISA-Tab metadata files from metabolomics XML data</t>
  </si>
  <si>
    <t>The study presents Python packages for automating ISA-Tab metadata file generation from raw XML metabolomics data, reducing user errors and improving compliance with reporting guidelines</t>
  </si>
  <si>
    <t>● Fast processing (&lt;45s for 50 files)
● Reduces manual metadata entry errors
● Captures 90% of metadata automatically
● Improves compliance with reporting standards
● Multiple interfaces (API, CLI, GUI, Galaxy)</t>
  </si>
  <si>
    <t>● Chromatography parameters require manual input
● Study design metadata needs manual addition
● Some experimental metadata absent from XML files
● Licensing issues may limit vendor file exploitation
● Requires ISAcreator for remaining fields</t>
  </si>
  <si>
    <t>Martin Larralde, Thomas N. Lawson, Ralf J. M. Weber, Pablo Moreno, Kenneth Haug, Philippe Rocca-Serra, Mark R. Viant, Christoph Steinbeck, Reza M. Salek</t>
  </si>
  <si>
    <t>● Metadata extraction from XML files
● ISA-Tab structure generation
● File format conversion</t>
  </si>
  <si>
    <t>● Python-based XML parsing
● Ontology-based term extraction using Pronto package
● Dictionary-to-ISA-Tab conversion</t>
  </si>
  <si>
    <t>● mzML files
● imzML files
● nmrML files</t>
  </si>
  <si>
    <t>● ISA-Tab files
● JSON files
● Python dictionary</t>
  </si>
  <si>
    <t>● Processing time
● Metadata extraction completeness</t>
  </si>
  <si>
    <t>● Processing time: ~45s for 50 XML files
● Metadata extraction: 90% automatic capture
● Extracted terms: 23 (mzML), 42 (imzML), 46 (nmrML)</t>
  </si>
  <si>
    <t>● MetaboLights database
● HUPO PSI-MS ontology
● imagingMS ontology
● nmrCV</t>
  </si>
  <si>
    <t>● XML-based mass spectrometry data
● XML-based NMR spectroscopy data
● Metadata</t>
  </si>
  <si>
    <t>● 21 MetaboLights studies tested
● 50 XML files per test set</t>
  </si>
  <si>
    <t>https://2isa.readthedocs.io/en/latest/</t>
  </si>
  <si>
    <t xml:space="preserve">https://github.com/ISA-tools </t>
  </si>
  <si>
    <t>● Python packages
● Galaxy tool wrapper
● Docker containers</t>
  </si>
  <si>
    <t>● Metabolomics data submission to MetaboLights
● Metadata standardization
● Data annotation and exploration
● Workflow integration</t>
  </si>
  <si>
    <t>Larralde, M., Lawson, T. N., Weber, R. J. M., Moreno, P., Haug, K., Rocca-Serra, P., Viant, M. R., Steinbeck, C., &amp; Salek, R. M. (2017). mzML2ISA &amp; nmrML2ISA: generating enriched ISA-Tab metadata files from metabolomics XML data. Bioinformatics, 33(16), 2598-2600.</t>
  </si>
  <si>
    <t>NMRShiftDB</t>
  </si>
  <si>
    <t>NMRShiftDB - compound identification and structure elucidation support through a free community-built web database</t>
  </si>
  <si>
    <t>NMRShiftDB is a free, community-built web database designed for compound identification and structure elucidation using NMR spectra, allowing open submission and access to assigned ¹H and ¹³C NMR data</t>
  </si>
  <si>
    <t>● Open access and open submission model
● Peer-reviewed data quality control
● Open-source software (GNU GPL v3)
● Multiple search capabilities (structure, subspectrum, similarity)
● HOSE code-based shift prediction</t>
  </si>
  <si>
    <t>● Requires manual submission and review process
● Quality depends on community contributions
● Prediction accuracy depends on database size
● Limited initially to 1D ¹H and ¹³C spectra
● Requires user registration for data submission</t>
  </si>
  <si>
    <t>Christoph Steinbeck, Stefan Kuhn</t>
  </si>
  <si>
    <t>Phytochemistry</t>
  </si>
  <si>
    <t>● Compound identification (dereplication)
● Structure elucidation support
● Spectral similarity search
● Chemical shift prediction
● Substructure search</t>
  </si>
  <si>
    <t>● HOSE code generation and matching
● Spectral similarity ranking
● Substructure search algorithms
● Statistical prediction (mean, standard deviation)</t>
  </si>
  <si>
    <t>● NMR chemical shifts (¹H, ¹³C, ¹⁵N, ³¹P)
● Chemical structures (SMILES)
● MOL files</t>
  </si>
  <si>
    <t>● Ranked list of similar structures
● Predicted chemical shifts with statistics
● Structure drawings
● PDF format
● RTF format</t>
  </si>
  <si>
    <t>● Spectral similarity percentage
● Prediction accuracy (standard deviation)
● HOSE code sphere depth</t>
  </si>
  <si>
    <t>● Spectral similarity: &gt;99% for exact matches
● Database size: ~10,000 structures at publication</t>
  </si>
  <si>
    <t>● Phytochemistry journal
● Journal of Natural Products
● In-house databases from collaborating laboratories</t>
  </si>
  <si>
    <t>● NMR spectral data (1D)
● Chemical structures (2D and 3D)
● Metadata (temperature, frequency, solvent)</t>
  </si>
  <si>
    <t>● ~10,000 chemical structures with assigned spectra</t>
  </si>
  <si>
    <t xml:space="preserve">https://nmrshiftdb.nmr.uni-koeln.de/ </t>
  </si>
  <si>
    <t>● Web-based interface
● Open-source components
● Database mirrors network</t>
  </si>
  <si>
    <t>● Natural products structure elucidation
● Compound dereplication
● NMR spectroscopy education
● Chemical structure identification</t>
  </si>
  <si>
    <r>
      <t xml:space="preserve">Steinbeck, C., &amp; Kuhn, S. (2004). NMRShiftDB - compound identification and structure elucidation support through a free community-built web database. </t>
    </r>
    <r>
      <rPr>
        <i/>
        <sz val="12"/>
        <color rgb="FF000000"/>
        <rFont val="Calibri"/>
        <family val="2"/>
        <scheme val="major"/>
      </rPr>
      <t>Journal of Molecular Graphics and Modelling, 22</t>
    </r>
    <r>
      <rPr>
        <sz val="12"/>
        <color rgb="FF000000"/>
        <rFont val="Calibri"/>
        <family val="2"/>
        <scheme val="major"/>
      </rPr>
      <t>(5), 341-346.</t>
    </r>
  </si>
  <si>
    <t>Omics Playground</t>
  </si>
  <si>
    <t>Omics Playground: a comprehensive self-service platform for visualization, analytics and exploration of Big Omics Data</t>
  </si>
  <si>
    <t>A self-service bioinformatics platform for in-depth analysis, visualization, and interpretation of transcriptomics and proteomics data</t>
  </si>
  <si>
    <t>● Supports single-cell data analysis
● Provides diverse visualization and analytics tools
● User-friendly for non-coders</t>
  </si>
  <si>
    <t>● Limited to transcriptomics and proteomics
● No integration for additional omics types (e.g., metabolomics, epigenomics)</t>
  </si>
  <si>
    <t>Murodzhon Akhmedov, Axel Martinelli, Roger Geiger, Ivo Kwee</t>
  </si>
  <si>
    <t>NAR Genomics and Bioinformatics</t>
  </si>
  <si>
    <t>● Differential expression analysis
● Gene set enrichment analysis
● Clustering
● Classification
● Biomarker selection
● Cell type profiling
● Dimensionality reduction (PCA, t-SNE)
● Pathway analysis</t>
  </si>
  <si>
    <t>● limma (multiple variants)
● edgeR (QLF, LRT)
● DESeq2 (Wald, LRT)
● t-test (standard, Welch)
● GSVA
● ssGSEA
● Fisher's exact test
● GSEA
● camera
● fry
● Hierarchical clustering
● PCA
● t-SNE
● LASSO
● Elastic nets
● Random forests
● Extreme gradient boosting (XGBoost)</t>
  </si>
  <si>
    <t>● .csv files (counts, samples, genes, contrasts)
● .FASTQ files
● Gene expression data (microarray, RNA-seq)
● LC-MS/MS proteomics data</t>
  </si>
  <si>
    <t>● Interactive visualizations (heatmaps, volcano plots, PCA/t-SNE plots)
● Statistical reports
● KEGG pathway maps
● Biomarker lists
● Gene set enrichment tables
● Classification/survival trees</t>
  </si>
  <si>
    <t>● logFC (log fold change)
● FDR (false discovery rate)
● q value
● meta.q
● Variable importance score</t>
  </si>
  <si>
    <t>● GEO (Gene Expression Omnibus)
● GTEx
● L1000
● KEGG
● GO (Gene Ontology)
● MSigDB
● Hallmark
● ImmProt
● HPA (Human Protein Atlas)
● OMIM
● PubChem
● ChEMBL
● HMDB
● LIPID MAPS
● MassBank
● GNPS</t>
  </si>
  <si>
    <t>● Gene expression data
● Transcriptomics (microarray, RNA-seq, single-cell RNA-seq)
● Proteomics (LC-MS/MS)</t>
  </si>
  <si>
    <t>● &gt;50,000 gene sets
● &gt;5,000 drug profiles (L1000)
● 42 reference databases
● 30 gene set collections
● Multiple public datasets (GSE72056, GSE114716, GSE10846, immune cell proteomics)</t>
  </si>
  <si>
    <r>
      <rPr>
        <sz val="12"/>
        <rFont val="Calibri"/>
        <family val="2"/>
        <scheme val="major"/>
      </rPr>
      <t>● GEO Datasets:</t>
    </r>
    <r>
      <rPr>
        <u/>
        <sz val="12"/>
        <color theme="10"/>
        <rFont val="Calibri"/>
        <family val="2"/>
        <scheme val="major"/>
      </rPr>
      <t xml:space="preserve"> https://www.ncbi.nlm.nih.gov/geo/
</t>
    </r>
    <r>
      <rPr>
        <sz val="12"/>
        <rFont val="Calibri"/>
        <family val="2"/>
        <scheme val="major"/>
      </rPr>
      <t>● GTEx Data:</t>
    </r>
    <r>
      <rPr>
        <u/>
        <sz val="12"/>
        <color theme="10"/>
        <rFont val="Calibri"/>
        <family val="2"/>
        <scheme val="major"/>
      </rPr>
      <t xml:space="preserve"> https://gtexportal.org/home/
</t>
    </r>
    <r>
      <rPr>
        <sz val="12"/>
        <rFont val="Calibri"/>
        <family val="2"/>
        <scheme val="major"/>
      </rPr>
      <t>● L1000 Database:</t>
    </r>
    <r>
      <rPr>
        <u/>
        <sz val="12"/>
        <color theme="10"/>
        <rFont val="Calibri"/>
        <family val="2"/>
        <scheme val="major"/>
      </rPr>
      <t xml:space="preserve"> https://clue.io/L1000</t>
    </r>
  </si>
  <si>
    <r>
      <rPr>
        <sz val="12"/>
        <rFont val="Calibri"/>
        <family val="2"/>
        <scheme val="major"/>
      </rPr>
      <t>● GitHub Repository:</t>
    </r>
    <r>
      <rPr>
        <u/>
        <sz val="12"/>
        <color theme="10"/>
        <rFont val="Calibri"/>
        <family val="2"/>
        <scheme val="major"/>
      </rPr>
      <t xml:space="preserve"> https://github.com/bigomics/omicsplayground
</t>
    </r>
    <r>
      <rPr>
        <sz val="12"/>
        <rFont val="Calibri"/>
        <family val="2"/>
        <scheme val="major"/>
      </rPr>
      <t>● Docker Image:</t>
    </r>
    <r>
      <rPr>
        <u/>
        <sz val="12"/>
        <color theme="10"/>
        <rFont val="Calibri"/>
        <family val="2"/>
        <scheme val="major"/>
      </rPr>
      <t xml:space="preserve"> https://hub.docker.com/r/bigomics/omicsplayground
</t>
    </r>
    <r>
      <rPr>
        <sz val="12"/>
        <rFont val="Calibri"/>
        <family val="2"/>
        <scheme val="major"/>
      </rPr>
      <t>● Documentation:</t>
    </r>
    <r>
      <rPr>
        <u/>
        <sz val="12"/>
        <color theme="10"/>
        <rFont val="Calibri"/>
        <family val="2"/>
        <scheme val="major"/>
      </rPr>
      <t xml:space="preserve"> https://omicsplayground.readthedocs.io</t>
    </r>
  </si>
  <si>
    <t>● R
● Shiny web application framework
● Docker container</t>
  </si>
  <si>
    <t>● Biomedical research
● Gene expression analysis
● Biomarker discovery
● Drug repurposing
● Cell type profiling
● Immune cell characterization
● Cancer research
● Pathway analysis
● Single-cell RNA-seq analysis</t>
  </si>
  <si>
    <r>
      <t xml:space="preserve">Akhmedov, M., Martinelli, A., Geiger, R., &amp; Kwee, I. (2020). Omics Playground: a comprehensive self-service platform for visualization, analytics and exploration of Big Omics Data. </t>
    </r>
    <r>
      <rPr>
        <i/>
        <sz val="12"/>
        <color rgb="FF000000"/>
        <rFont val="Calibri"/>
        <family val="2"/>
        <scheme val="major"/>
      </rPr>
      <t>NAR Genomics and Bioinformatics, 2</t>
    </r>
    <r>
      <rPr>
        <sz val="12"/>
        <color rgb="FF000000"/>
        <rFont val="Calibri"/>
        <family val="2"/>
        <scheme val="major"/>
      </rPr>
      <t>(1), lqz019.</t>
    </r>
  </si>
  <si>
    <t>OmicsNet</t>
  </si>
  <si>
    <t>OmicsNet 2.0: a web-based platform for multi-omics integration and network visual analytics</t>
  </si>
  <si>
    <t xml:space="preserve">A web-based tool for integrating, visualizing, and analyzing multi-omics networks, allowing users to study molecular interactions across different omics layers	</t>
  </si>
  <si>
    <t>● Supports 8 omics types including SNPs and LC-MS peaks
● 11 different 2D graph layouts plus 3D visualization
● Web-based with no installation required
● Reproducibility support via R command history
● Comprehensive molecular interaction databases</t>
  </si>
  <si>
    <t>● Requires internet access for web operations
● Network size limitations for visualization
● Annotation accuracy depends on database coverage
● Limited to pre-defined database interactions</t>
  </si>
  <si>
    <t>Guangyan Zhou, Jianguo Xia</t>
  </si>
  <si>
    <t>● Network construction from omics lists
● SNP to gene mapping
● LC-MS peak annotation
● Microbial metabolite prediction
● Network visualization and analysis</t>
  </si>
  <si>
    <t>● Database querying and network merging
● Prize-collecting Steiner Forest (PCSF) algorithm
● Random walk with restart algorithm
● Bayesian logit regression (microbiome)
● NetID algorithm (metabolite annotation)</t>
  </si>
  <si>
    <t>● Gene lists
● Protein lists
● Metabolite lists
● SNP IDs (rsID)
● LC-MS peaks (m/z, retention time)
● Microbial taxa lists</t>
  </si>
  <si>
    <t>● Interactive network visualizations (2D/3D)
● Annotated networks
● Graph files
● R command history</t>
  </si>
  <si>
    <t>● Network connectivity
● Annotation accuracy
● Processing time</t>
  </si>
  <si>
    <t>● NetID algorithm: &gt;10× faster than original R implementation</t>
  </si>
  <si>
    <t>● STRING
● InnateDB
● IntAct
● TRRUST
● JASPAR
● TarBase
● miRTarBase
● KEGG
● Recon3
● AGORA
● HMDB
● PubChemLite BioPathway
● Ensembl VEP
● PhenoScanner
● ENCODE
● GTEx
● Human Protein Atlas</t>
  </si>
  <si>
    <t xml:space="preserve">
● Molecular interaction networks
● Genomic variation data
● Metabolomics data
● Microbiome taxonomic data</t>
  </si>
  <si>
    <t>● Variable (depends on input lists and network complexity)
● Case study: 3 omics types (SNPs, taxa, LC-MS peaks)</t>
  </si>
  <si>
    <r>
      <rPr>
        <sz val="12"/>
        <rFont val="Calibri"/>
        <family val="2"/>
        <scheme val="major"/>
      </rPr>
      <t>● STRING Database:</t>
    </r>
    <r>
      <rPr>
        <u/>
        <sz val="12"/>
        <color theme="10"/>
        <rFont val="Calibri"/>
        <family val="2"/>
        <scheme val="major"/>
      </rPr>
      <t xml:space="preserve">
https://string-db.org/
</t>
    </r>
    <r>
      <rPr>
        <sz val="12"/>
        <rFont val="Calibri"/>
        <family val="2"/>
        <scheme val="major"/>
      </rPr>
      <t>● KEGG Pathway Data:</t>
    </r>
    <r>
      <rPr>
        <u/>
        <sz val="12"/>
        <color theme="10"/>
        <rFont val="Calibri"/>
        <family val="2"/>
        <scheme val="major"/>
      </rPr>
      <t xml:space="preserve">
https://www.genome.jp/kegg/
</t>
    </r>
    <r>
      <rPr>
        <sz val="12"/>
        <rFont val="Calibri"/>
        <family val="2"/>
        <scheme val="major"/>
      </rPr>
      <t>● HMDB Database:</t>
    </r>
    <r>
      <rPr>
        <u/>
        <sz val="12"/>
        <color theme="10"/>
        <rFont val="Calibri"/>
        <family val="2"/>
        <scheme val="major"/>
      </rPr>
      <t xml:space="preserve">
https://hmdb.ca/
</t>
    </r>
    <r>
      <rPr>
        <sz val="12"/>
        <rFont val="Calibri"/>
        <family val="2"/>
        <scheme val="major"/>
      </rPr>
      <t>● GTEx Database:</t>
    </r>
    <r>
      <rPr>
        <u/>
        <sz val="12"/>
        <color theme="10"/>
        <rFont val="Calibri"/>
        <family val="2"/>
        <scheme val="major"/>
      </rPr>
      <t xml:space="preserve">
https://gtexportal.org/home/</t>
    </r>
  </si>
  <si>
    <r>
      <rPr>
        <sz val="12"/>
        <rFont val="Calibri"/>
        <family val="2"/>
        <scheme val="major"/>
      </rPr>
      <t>● GitHub Repository:</t>
    </r>
    <r>
      <rPr>
        <u/>
        <sz val="12"/>
        <color theme="10"/>
        <rFont val="Calibri"/>
        <family val="2"/>
        <scheme val="major"/>
      </rPr>
      <t xml:space="preserve">
https://github.com/xia-lab/OmicsNetR
</t>
    </r>
    <r>
      <rPr>
        <sz val="12"/>
        <rFont val="Calibri"/>
        <family val="2"/>
        <scheme val="major"/>
      </rPr>
      <t>● OmicsNet Web Tool:</t>
    </r>
    <r>
      <rPr>
        <u/>
        <sz val="12"/>
        <color theme="10"/>
        <rFont val="Calibri"/>
        <family val="2"/>
        <scheme val="major"/>
      </rPr>
      <t xml:space="preserve">
http://www.omicsnet.ca</t>
    </r>
  </si>
  <si>
    <t>● Web-based platform
● R package (OmicsNetR)
● No installation required</t>
  </si>
  <si>
    <t>● Multi-omics data integration
● Disease mechanism investigation
● Host-microbiome interaction studies
● Biomarker discovery
● Network-based functional analysis</t>
  </si>
  <si>
    <r>
      <t xml:space="preserve">Zhou, G., &amp; Xia, J. (2022). OmicsNet 2.0: a web-based platform for multi-omics integration and network visual analytics. </t>
    </r>
    <r>
      <rPr>
        <i/>
        <sz val="12"/>
        <color rgb="FF000000"/>
        <rFont val="Calibri"/>
        <family val="2"/>
        <scheme val="major"/>
      </rPr>
      <t>Nucleic Acids Research, 50</t>
    </r>
    <r>
      <rPr>
        <sz val="12"/>
        <color rgb="FF000000"/>
        <rFont val="Calibri"/>
        <family val="2"/>
        <scheme val="major"/>
      </rPr>
      <t>(W1), W459-W468.</t>
    </r>
  </si>
  <si>
    <t>OMLT</t>
  </si>
  <si>
    <t>OMLT: Optimization &amp; Machine Learning Toolkit</t>
  </si>
  <si>
    <t>OMLT is an open-source software package that integrates trained machine learning models (neural networks, gradient-boosted trees) into optimization problems using Pyomo</t>
  </si>
  <si>
    <t>● Automates ML model to optimization formulation conversion
● Supports multiple ML frameworks via ONNX
● Provides competing formulation alternatives in single package
● Seamless integration with Pyomo solvers
● Reduces coding and debugging time</t>
  </si>
  <si>
    <t>● Requires pre-trained ML models
● Performance depends on chosen formulation
● Limited to specific activation functions
● Manual variable scaling and bounds sometimes needed
● Computational complexity varies by formulation</t>
  </si>
  <si>
    <t>Francesco Ceccon, Jordan Jalving, Joshua Haddad, Alexander Thebelt, Calvin Tsay, Carl D Laird, Ruth Misener</t>
  </si>
  <si>
    <t>Journal of Machine Learning Research</t>
  </si>
  <si>
    <t>● ML model embedding in optimization
● Neural network verification
● Surrogate-based optimization
● Grey-box optimization</t>
  </si>
  <si>
    <t>● Big-M formulation
● Complementarity formulation
● Partition-based formulation
● Full-space formulation
● Reduced-space formulation</t>
  </si>
  <si>
    <t>● ONNX model files
● Keras model files
● Pyomo optimization models</t>
  </si>
  <si>
    <t>● Pyomo blocks with variables and constraints
● Optimization solutions</t>
  </si>
  <si>
    <t>● Number of constraints generated
● Formulation switching time
● Solver convergence</t>
  </si>
  <si>
    <t>● Formulation switching: &lt;1 line of code
● ReLU example: 248-428 constraints across 3 formulations</t>
  </si>
  <si>
    <t>● MNIST dataset
● IDAES-PSE process models</t>
  </si>
  <si>
    <t>● Neural network architectures
● Gradient-boosted tree models
● Optimization formulations</t>
  </si>
  <si>
    <t>● Variable (Depends on ML model size)</t>
  </si>
  <si>
    <t xml:space="preserve">● https://git.rwth-aachen.de/avt-svt/public/MeLOn
● http://janos.opt-operations.com
● https://github.com/ChemEngAI/ReLU_ANN_MILP </t>
  </si>
  <si>
    <t xml:space="preserve">● https://github.com/cog-imperial/OMLT
● https://github.com/onnx/onnx </t>
  </si>
  <si>
    <t>● Python package
● Pyomo-based framework
● pip install available</t>
  </si>
  <si>
    <t>● Neural network verification
● Process optimization
● Bayesian optimization
● Hybrid mechanistic modeling
● Engineering design problems</t>
  </si>
  <si>
    <t>Ceccon, F., Jalving, J., Haddad, J., Thebelt, A., Tsay, C., Laird, C. D., &amp; Misener, R. (2022). OMLT: Optimization &amp; machine learning toolkit. Journal of Machine Learning Research, 23(349), 1-8.</t>
  </si>
  <si>
    <t>OpenMS</t>
  </si>
  <si>
    <t>OpenMS - A platform for reproducible analysis of mass spectrometry data</t>
  </si>
  <si>
    <t>An open-source software platform for reproducible processing and analysis of mass spectrometry data in proteomics and metabolomics</t>
  </si>
  <si>
    <t>● 185 modular tools for comprehensive MS data processing
● Workflow integration (KNIME, Galaxy, Snakemake, CWL)
● Cross-platform support (Windows, Linux, macOS)
● Python interface (pyOpenMS) for scripting
● Active development (20,000+ Git commits, 150+ developers)</t>
  </si>
  <si>
    <t>● Requires technical expertise for advanced usage
● Command-line interface for many tools
● Learning curve for new users</t>
  </si>
  <si>
    <t>Review</t>
  </si>
  <si>
    <t>Julianus Pfeuffer, Timo Sachsenberg, Oliver Alka, Mathias Walzer, Alexander Fillbrunn, Lars Nilse, Oliver Schilling, Knut Reinert, Oliver Kohlbacher</t>
  </si>
  <si>
    <t>Journal of Biotechnology</t>
  </si>
  <si>
    <t>● Feature detection
● Peptide/protein identification
● Quantification (label-free and isobaric)
● Quality control
● Data preprocessing</t>
  </si>
  <si>
    <t>● Peak picking algorithms
● Feature finding algorithms
● Database search engines integration
● Retention time alignment
● Statistical analysis</t>
  </si>
  <si>
    <t>● .RAW files (Thermo)
● .d files (Agilent, Bruker)
● .mzML files
● .mzXML files</t>
  </si>
  <si>
    <t>● .mzML files
● .idXML files
● .featureXML files
● .consensusXML files
● .csv reports
● .qcML quality control reports</t>
  </si>
  <si>
    <t xml:space="preserve">
● Processing time
● Identification accuracy
● Feature detection sensitivity
● Quantification precision</t>
  </si>
  <si>
    <t>● 20,000+ Git commits since 2015
● 150+ developers
● 1,114 downloads (2.1 release, 4 months)</t>
  </si>
  <si>
    <t>● PRIDE
● GNPS
● PeptideAtlas
● PubChem
● myExperiment</t>
  </si>
  <si>
    <t xml:space="preserve">
● MS1 spectra
● MS2 spectra
● Chromatographic data
● Quantification data
● Identification data</t>
  </si>
  <si>
    <t>● Variable (depends on experiment)
● Supports large-scale datasets
● HPC and cloud deployment capable</t>
  </si>
  <si>
    <t>https://openms.de/</t>
  </si>
  <si>
    <t xml:space="preserve">https://github.com/OpenMS </t>
  </si>
  <si>
    <t xml:space="preserve">
● C++ library
● Python interface (pyOpenMS)
● KNIME plugin
● Galaxy integration
● Snakemake workflows
● CWL workflows
● Docker containers
● BioConda packages</t>
  </si>
  <si>
    <t>● Bottom-up proteomics
● Top-down proteomics
● Metabolomics
● Lipidomics
● Structural biology
● Oligonucleotide MS
● Quality control</t>
  </si>
  <si>
    <t>Pfeuffer, J., Sachsenberg, T., Alka, O., Walzer, M., Fillbrunn, A., Nilse, L., Schilling, O., Reinert, K., &amp; Kohlbacher, O. (2017). OpenMS - A platform for reproducible analysis of mass spectrometry data. Journal of Biotechnology, 261, 142-148.</t>
  </si>
  <si>
    <t>PeakForest</t>
  </si>
  <si>
    <t>PeakForest: a multi-platform digital infrastructure for interoperable metabolite spectral data and metadata management</t>
  </si>
  <si>
    <t>An open-source digital infrastructure for managing, annotating, and sharing metabolite spectral data across laboratories</t>
  </si>
  <si>
    <t>● Supports both NMR and MS spectral data 
● Ensures data quality through Standardised formats and operating procedures 
● Interoperable with public databases and laboratory pipelines</t>
  </si>
  <si>
    <t>● Limited to metabolomics data 
● Requires integration with external analytical tools for advanced processing</t>
  </si>
  <si>
    <t>Nils Paulhe, Cécile Canlet, Annelaure Damont, Lindsay Peyriga, Stéphanie Durand, Catherine Deborde, Sandra Alves, Stephane Bernillon, Thierry Berton, Raphael Bir, Alyssa Bouville, Edern Cahoreau, Delphine Centeno, Robin Costantino, Laurent Debrauwer, Alexis Delabrière, Christophe Duperier, Sylvain Emery, Amelie Flandin, Ulli Hohenester, Daniel Jacob, Charlotte Joly, Cyril Jousse, Marie Lagree, Nadia Lamari, Marie Lefebvre, Claire Lopez-Piffet, Bernard Lyan, Mickael Maucourt, Carole Migne, Marie-Francoise Olivier, Estelle Rathahao-Paris, Pierre Petriacq, Julie Pinelli, Léa Roch, Pierrick Roger, Simon Roques, Jean-Claude Tabet, Marie Tremblay-Franco, Mounir Traïkia, Anna Warnet, Vanessa Zhendre, Dominique Rolin, Fabien Jourdan, Etienne Thévenot, Annick Moing, Emilien Jamin, François Fenaille, Christophe Junot, Estelle Pujos-Guillot, Franck Giacomoni</t>
  </si>
  <si>
    <t>● Data management
● Metadata curation
● Spectral annotation
● Database querying
● Data export
● Metabolite identification</t>
  </si>
  <si>
    <t>● Java Web application
● REST API
● OpenAPI standard
● Chemical Translation Service (Fiehn)
● PubChem PUG-REST
● OpenBabel
● OChem Web services
● BioSM tool</t>
  </si>
  <si>
    <t>● .csv files (counts, samples, genes, contrasts)
● InChIKey
● Compound names
● Excel templates (spectral metadata)
● Raw spectral data (peak lists)</t>
  </si>
  <si>
    <t>● Compound cards (structured data)
● Spectral cards (annotated spectra)
● .csv exports
● .sdf files (compound structures)
● MassBank text format
● .msp files (MS spectra)
● nmrML files (NMR spectra)
● JSON (via REST API)</t>
  </si>
  <si>
    <t xml:space="preserve">
● PubChem
● ChEBI
● KEGG
● HMDB
● Chemical Translation Service (Fiehn)
● MassBank Europe
● MassBank of North America (MoNA)
● MetaboLights
● GNPS
● LIPID MAPS
● GTEx
● L1000</t>
  </si>
  <si>
    <t>● Metabolite spectral data (NMR, MS)
● Chemical compound metadata
● Analytical metadata</t>
  </si>
  <si>
    <t>● Demo database: 96 chemical compounds
● Demo database: 400 spectra
● &gt;50,000 gene sets (from multiple databases)</t>
  </si>
  <si>
    <t xml:space="preserve">https://github.com/peakforest </t>
  </si>
  <si>
    <t>● Java Web application (Java 8)
● Tomcat server (version 7)
● Docker container</t>
  </si>
  <si>
    <t>● Metabolite identification
● Spectral annotation
● Laboratory data management
● Metabolomics research
● Biomarker discovery
● Data curation</t>
  </si>
  <si>
    <t>Paulhe, N., Canlet, C., Damont, A., Peyriga, L., Durand, S., Deborde, C., ... &amp; Giacomoni, F. (2022). PeakForest: a multi-platform digital infrastructure for interoperable metabolite spectral data and metadata management. Metabolomics, 18(6), 40.</t>
  </si>
  <si>
    <t>PeakQC</t>
  </si>
  <si>
    <t>PeakQC: A Software Tool for Omics-Agnostic Automated Quality Control of Mass Spectrometry Data</t>
  </si>
  <si>
    <t>A software tool designed for automated quality control (QC) of mass spectrometry data across multiple omics fields</t>
  </si>
  <si>
    <t>● Omics-agnostic (supports metabolomics, proteomics, lipidomics)
● Automated peak detection and quality assessment
● Supports multiple acquisition types (LC-MS, IMS-MS, DDA, DIA, infusion)
● Fast processing (4-45 min for batches)
● Low computational requirements</t>
  </si>
  <si>
    <t>● Quality control only (no downstream data processing)
● Limited instrument format support (Agilent, Bruker, Thermo, mzML)
● No command-line interface in current version
● Auto-tracked ions require reference QC run</t>
  </si>
  <si>
    <t>Andrea Harrison, Josie G. Eder, Priscila M. Lalli, Nathalie Munoz, Yuqian Gao, Chaevien S. Clendinen, Daniel J. Orton, Xueyun Zheng, Sarah M. Williams, Sneha P. Couvillion, Rosalie K. Chu, Vimal K. Balasubramanian, Arunima Bhattacharjee, Christopher R. Anderton, Kyle R. Pomraning, Kristin E. Burnum-Johnson, Tao Liu, Jennifer E. Kyle, Aivett Bilbao</t>
  </si>
  <si>
    <t>Journal of the American Society for MS</t>
  </si>
  <si>
    <t>● Quality control assessment
● Anomaly detection
● Peak metrics extraction</t>
  </si>
  <si>
    <t>● Principal Component Analysis (PCA)
● Isolation Forest algorithm
● Z-score calculation</t>
  </si>
  <si>
    <t>● .RAW files (Thermo)
● .d files (Agilent, Bruker)
● .mzML files</t>
  </si>
  <si>
    <t>● .csv reports
● .pdf diagnostic plots
● .jpg figures</t>
  </si>
  <si>
    <t>● Mass error (ppm)
● Retention time error (minutes)
● Arrival time error (ms)
● Total ion chromatogram (TIC)
● Peak count</t>
  </si>
  <si>
    <t>● Processing time: 4-45 min per batch
● Memory usage: up to 5 GB RAM</t>
  </si>
  <si>
    <t>● CPTAC (Clinical Proteomic Tumor Analysis Consortium)
● Agile BioFoundry synthetic biology study
● EMSL (Environmental Molecular Sciences Laboratory)</t>
  </si>
  <si>
    <t xml:space="preserve">
● MS1 spectra
● MS2 spectra
● Chromatographic data
● Ion mobility data</t>
  </si>
  <si>
    <t xml:space="preserve">
● Metabolomics infusion: 71 MS runs
● Metabolomics LC-MS: 192 MS runs
● Metabolomics LC-IMS-MS: 8 MS runs
● Lipidomics LC-MS: 201 MS runs
● Proteomics LC-MS: 49 MS runs</t>
  </si>
  <si>
    <t>https://pubs.acs.org/doi/10.1021/jasms.4c00146</t>
  </si>
  <si>
    <t>● https://github.com/pnnl/IonToolPack</t>
  </si>
  <si>
    <t>● Python
● Desktop application (standalone executable)</t>
  </si>
  <si>
    <t xml:space="preserve">
● Quality control for metabolomics
● Quality control for proteomics
● Quality control for lipidomics
● Instrument performance monitoring</t>
  </si>
  <si>
    <t>Harrison, A., Eder, J. G., Lalli, P. M., Munoz, N., Gao, Y., Clendinen, C. S., ... &amp; Bilbao, A. (2024). PeakQC: A Software Tool for Omics-Agnostic Automated Quality Control of Mass Spectrometry Data. Journal of the American Society for Mass Spectrometry, 35(11), 2680-2689.</t>
  </si>
  <si>
    <t>POMAShiny</t>
  </si>
  <si>
    <t>POMAShiny: A user-friendly web-based workflow for metabolomics and proteomics data analysis</t>
  </si>
  <si>
    <t>A web-based application for metabolomics and proteomics data analysis, providing visualization, statistical analysis, and data exploration tools</t>
  </si>
  <si>
    <t>● User-friendly interface requiring no programming skills
● Comprehensive workflow (preprocessing, EDA, statistical analysis)
● Multiple statistical methods integrated
● Based on POMA R/Bioconductor package for reproducibility
● Automatic PDF exploratory report generation</t>
  </si>
  <si>
    <t>● Limited to predefined statistical methods
● Web-based requires internet connection
● Cannot extend beyond implemented features without R knowledge</t>
  </si>
  <si>
    <t>Research Article</t>
  </si>
  <si>
    <t>Pol Castellano-Escuder, Raúl González-Domínguez, Francesc Carmona-Pontaque, Cristina Andrés-Lacueva, Alex Sánchez-Pla</t>
  </si>
  <si>
    <t>PLOS Computational Biology</t>
  </si>
  <si>
    <t>● Data preprocessing (imputation, normalization, outlier detection)
● Exploratory data analysis
● Feature selection
● Classification
● Clustering
● Dimensionality reduction</t>
  </si>
  <si>
    <t>● Missing value imputation (k-NN, median, mean, minimum, zero)
● Normalization (autoscaling, log scaling, pareto scaling)
● PCA
● PLS-DA
● sPLS-DA
● k-means clustering
● LASSO regression
● Ridge regression
● Elasticnet regression
● Random Forest
● Limma
● T-test
● ANOVA
● Mann-Whitney U test
● Kruskal-Wallis test
● Rank products</t>
  </si>
  <si>
    <t>● .csv files (target and features files)</t>
  </si>
  <si>
    <t>● Interactive plots
● Statistical result tables
● PDF exploratory reports
● Downloadable results</t>
  </si>
  <si>
    <t>● Metabolomics Workbench (ST000284, ST000336 example datasets)</t>
  </si>
  <si>
    <t>● Metabolomics data
● Proteomics data</t>
  </si>
  <si>
    <t xml:space="preserve">
● https://www.metabolomicsworkbench.org </t>
  </si>
  <si>
    <t xml:space="preserve">https://github.com/nutrimetabolomics/POMAShiny </t>
  </si>
  <si>
    <t>● R (Shiny framework)
● Docker container
● Web application</t>
  </si>
  <si>
    <t>● Metabolomics and proteomics data visualization
● Statistical analysis</t>
  </si>
  <si>
    <t>Castellano-Escuder, P., González-Domínguez, R., Carmona-Pontaque, F., Andrés-Lacueva, C., &amp; Sánchez-Pla, A. (2021). POMAShiny: A user-friendly web-based workflow for metabolomics and proteomics data analysis. PLOS Computational Biology, 17(7), e1009148.</t>
  </si>
  <si>
    <t>Pseudo-MS</t>
  </si>
  <si>
    <t>Deep learning-based pseudo-mass spectrometry imaging analysis for precision medicine</t>
  </si>
  <si>
    <t>Converts LC–MS raw data to pseudo-MS images and processes them via deep learning for disease diagnosis</t>
  </si>
  <si>
    <t>● Overcomes metabolite identification limitations 
● Reduces information loss 
● Improves prediction accuracy</t>
  </si>
  <si>
    <t>● Black-box nature of deep learning
● Only positive mode LC-MS data used
● Limited interpretability of prediction basis</t>
  </si>
  <si>
    <t>Xiaotao Shen, Wei Shao, Chuchu Wang, Liang Liang, Songjie Chen, Sai Zhang, Mirabela Rusu, Michael P. Snyder</t>
  </si>
  <si>
    <t>● Classification (disease diagnosis)
● Prediction (gestational age)</t>
  </si>
  <si>
    <t xml:space="preserve">
● Convolutional Neural Network (VGG16)
● Deep learning with data augmentation
● Random Forest (for comparison)</t>
  </si>
  <si>
    <t>● .mzXML files</t>
  </si>
  <si>
    <t>● Pseudo-MS images (.png)
● Disease classification predictions
● Gestational age predictions</t>
  </si>
  <si>
    <t>● Accuracy 
● Specificity 
● Sensitivity 
● RMSE</t>
  </si>
  <si>
    <t>● 97.3% accuracy (Endometrial cancer) 
● 87.8% accuracy (Colon cancer) 
● RMSE: 4.1 weeks (Gestational Age)</t>
  </si>
  <si>
    <t>● Public datasets (MetaboLights: MTBLS3444, MTBLS1129)</t>
  </si>
  <si>
    <t xml:space="preserve">● Structured (mzXML)	</t>
  </si>
  <si>
    <t>● 750 samples (30 pregnant women)
● 621 samples (endometrial cancer dataset)
● 236 samples (colon cancer dataset)</t>
  </si>
  <si>
    <t xml:space="preserve">
● https://doi.org/10.21228/M81H58
● https://www.deeppseudomsi.org/#case_study</t>
  </si>
  <si>
    <t>https://github.com/deepPseudoMSI-project/deepPseudoMSI</t>
  </si>
  <si>
    <t>● Python
● R</t>
  </si>
  <si>
    <t>● Disease diagnosis</t>
  </si>
  <si>
    <t>Shen, X., Shao, W., Wang, C., Liang, L., Chen, S., Zhang, S., ... &amp; Snyder, M. P. (2022). Deep learning-based pseudo-mass spectrometry imaging analysis for precision medicine. Briefings in Bioinformatics, 23(5), bbac331.</t>
  </si>
  <si>
    <t>pyMS-Vis</t>
  </si>
  <si>
    <t>pyMS-Vis, an Open-Source Python Application for Visualizing and Investigating Deconvoluted Top-Down Mass Spectrometric Experiments: A Histone Proteoform Case Study</t>
  </si>
  <si>
    <t>A Python-based tool for the visualization and analysis of deconvoluted top-down mass spectrometry (LC-TDMS) data</t>
  </si>
  <si>
    <t>● Simple to use requiring no Python programming knowledge
● Rapid analysis (minutes vs hours for manual methods)
● Interactive graphs for data visualization
● Open-source and customizable
● Extensively commented code for easy modification</t>
  </si>
  <si>
    <t>● Requires deconvoluted LC-MS data as input
● Limited to MS1 data analysis
● Requires prior proteoform identification and validation</t>
  </si>
  <si>
    <t>James J. Pesavento, Megan S. Bindra, Udayan Das, Sarah R. Rommelfanger, Mowei Zhou, Ljiljana Paša-Tolić, James G. Umen</t>
  </si>
  <si>
    <t>● Proteoform quantification
● Data visualization
● Abundance comparison</t>
  </si>
  <si>
    <t>● Mass search with tolerance filtering
● Intensity summation
● Relative abundance calculation
● Elution profile analysis</t>
  </si>
  <si>
    <t>● .msAlign files (TopFD deconvolution)
● .tsv files (FLASHDeconv deconvolution)
● .ms1_ft files (feature maps)
● .feature files</t>
  </si>
  <si>
    <t>● Interactive HTML graphs
● .csv quantitative data tables
● .png exported graphics</t>
  </si>
  <si>
    <t>● Processing time: ~45s for 5 LC-MS datasets
● Processing time: ~1 min for 12 LC-MS datasets</t>
  </si>
  <si>
    <t>● MassIVE (MSV000088458)</t>
  </si>
  <si>
    <t>● Deconvoluted LC-TDMS data
● Histone proteoform data</t>
  </si>
  <si>
    <t>● 5 asynchronous Chlamydomonas LC-MS datasets
● 12 cell cycle LC-MS datasets (4 phases × 3 replicates)</t>
  </si>
  <si>
    <t xml:space="preserve">https://pubs.acs.org/doi/10.1021/acs.analchem.4c02650 </t>
  </si>
  <si>
    <t>● https://github.com/pesavent/pyMS-Vis</t>
  </si>
  <si>
    <t xml:space="preserve">
● Python (version 3.10.11)
● Windows executable
● Mac OS executable</t>
  </si>
  <si>
    <t>● Investigating proteoform variations in proteomics studies</t>
  </si>
  <si>
    <t>Pesavento, J. J., Bindra, M. S., Das, U., Rommelfanger, S. R., Zhou, M., Paša-Tolić, L., &amp; Umen, J. G. (2024). pyMS-Vis, an Open-Source Python Application for Visualizing and Investigating Deconvoluted Top-Down Mass Spectrometric Experiments: A Histone Proteoform Case Study. Analytical Chemistry, 96, 14727-14733.</t>
  </si>
  <si>
    <t>pyOpenMS</t>
  </si>
  <si>
    <t>pyOpenMS: A Python-based interface to the OpenMS mass-spectrometry algorithm library</t>
  </si>
  <si>
    <t>A Python wrapper for OpenMS, providing access to mass spectrometry (MS) processing and analysis tools within Python workflows</t>
  </si>
  <si>
    <t>● Python scripting for fast prototyping
● Access to 4,100+ C++ method calls
● Interactive Python interpreter support
● Integration with Python scientific libraries (NumPy, SciPy, matplotlib)
● Over 30 file formats supported</t>
  </si>
  <si>
    <t>● Dependent on OpenMS C++ library
● Requires Python programming knowledge
● Performance overhead compared to native C++</t>
  </si>
  <si>
    <t>Technical Brief</t>
  </si>
  <si>
    <t>Hannes L. Röst, Uwe Schmitt, Ruedi Aebersold, Lars Malmström</t>
  </si>
  <si>
    <t>Proteomics</t>
  </si>
  <si>
    <t>● Signal processing (smoothing, filtering, peak-picking)
● Feature detection and quantification
● Peptide identification
● Phosphopeptide site assignment</t>
  </si>
  <si>
    <t>● Cython-based wrapping
● Autowrap code generation
● Fast Fourier Transform (FFT)
● AScore algorithm</t>
  </si>
  <si>
    <t>● .mzML files
● .mzXML files
● .TraML files
● .mzIdentML files
● .PepXML files
● .ProtXML files</t>
  </si>
  <si>
    <t>● .mzML files
● .mzQuantML files
● .idXML files
● .featureXML files
● NumPy arrays</t>
  </si>
  <si>
    <t>● Processing speed
● Code execution time
● Wrapping coverage (4,100+ methods)</t>
  </si>
  <si>
    <t>● 4,100+ C++ methods wrapped
● 200+ automated tests
● Over 30 file formats supported</t>
  </si>
  <si>
    <t>● Public MS repositories (PRIDE, GNPS) 
● Experimental MS datasets</t>
  </si>
  <si>
    <t>● MS1 spectra
● MS2 spectra
● Peak lists
● Chromatographic data
● Peptide identifications</t>
  </si>
  <si>
    <t>● Variable (depends on experiment)
● Suitable for standard proteomics datasets</t>
  </si>
  <si>
    <t xml:space="preserve">https://pypi.org/project/pyopenms/ </t>
  </si>
  <si>
    <t>https://pypi.org/project/pyopenms/</t>
  </si>
  <si>
    <t>● Python package
● pip install pyopenms</t>
  </si>
  <si>
    <t>● Rapid prototyping of MS algorithms
● Workflow development
● Interactive data analysis
● Phosphoproteomics
● Label-free quantification
● SILAC, iTRAQ, SWATH analysis</t>
  </si>
  <si>
    <t>Röst, H. L., Schmitt, U., Aebersold, R., &amp; Malmström, L. (2014). pyOpenMS: A Python-based interface to the OpenMS mass-spectrometry algorithm library. Proteomics, 14(1), 74-77.</t>
  </si>
  <si>
    <t>PyTorch</t>
  </si>
  <si>
    <t>PyTorch: An Imperative Style, High-Performance Deep Learning Library</t>
  </si>
  <si>
    <t>A deep learning framework designed for flexibility, dynamic computation graphs, and hardware acceleration</t>
  </si>
  <si>
    <t>● Imperative and Pythonic programming style
● Dynamic computation graphs (define-by-run)
● Efficient GPU and CPU execution
● Automatic differentiation
● Seamless Python ecosystem integration</t>
  </si>
  <si>
    <t>● Reference counting overhead in non-Python languages
● Limited to languages supporting reference counting or custom memory management
● Performance depends on careful implementation</t>
  </si>
  <si>
    <t>Conference paper</t>
  </si>
  <si>
    <t>Paszke, A., Gross, S., Massa, F., Lerer, A., Bradbury, J., Chanan, G., ... &amp; Chintala, S.</t>
  </si>
  <si>
    <t>33rd Conference on Neural Information Processing Systems (NeurIPS 2019)</t>
  </si>
  <si>
    <t>● Tensor operations
● Neural network training
● Automatic differentiation
● Model optimization
● GPU-accelerated computation</t>
  </si>
  <si>
    <t>● Dynamic eager execution
● Automatic differentiation (reverse-mode)
● Operator overloading
● Asynchronous GPU execution
● Custom caching tensor allocator</t>
  </si>
  <si>
    <t>● NumPy arrays (shared memory)
● Tensors (Python objects)
● DLPack format</t>
  </si>
  <si>
    <t>● .pt files (PyTorch format)
● .pth files (model weights)
● Tensors (in-memory)</t>
  </si>
  <si>
    <t>● Throughput (images/second, tokens/second, samples/second)
● Training speed
● GPU utilization</t>
  </si>
  <si>
    <t>● AlexNet: 1547±316 images/s
● VGG-19: 119±1 images/s
● ResNet-50: 212±2 images/s
● MobileNet: 463±17 images/s
● GNMTv2: 15512±4.8% tokens/s
● NCF: 5.4e6±3.4% samples/s
● Within 17% of fastest framework</t>
  </si>
  <si>
    <t>● cuDNN
● cuBLAS
● CUDA libraries
● NumPy</t>
  </si>
  <si>
    <t>● Structured (CSV, JSON) 
● Unstructured (Images, Text)</t>
  </si>
  <si>
    <t>● Benchmark models: AlexNet, VGG-19, ResNet-50, MobileNet, GNMTv2, NCF
● Standard batch sizes used in benchmarks</t>
  </si>
  <si>
    <t>● https://pytorch.org/</t>
  </si>
  <si>
    <t>● https://github.com/pytorch/pytorch</t>
  </si>
  <si>
    <t>● Python library (pip install)
● C++ core (libtorch)
● Available via package managers</t>
  </si>
  <si>
    <t>● Deep learning research
● Neural network training
● Computer vision
● Natural language processing
● Production deployment</t>
  </si>
  <si>
    <t>Paszke, A., Gross, S., Massa, F., Lerer, A., Bradbury, J., Chanan, G., Killeen, T., Lin, Z., Gimelshein, N., Antiga, L., Desmaison, A., Köpf, A., Yang, E., DeVito, Z., Raison, M., Tejani, A., Chilamkurthy, S., Steiner, B., Fang, L., Bai, J., &amp; Chintala, S. (2019). PyTorch: An imperative style, high-performance deep learning library. In Advances in Neural Information Processing Systems 32 (NeurIPS 2019) (pp. 8026-8037). Curran Associates.</t>
  </si>
  <si>
    <t>rDolphin</t>
  </si>
  <si>
    <t>rDolphin: a GUI R package for proficient automatic profiling of 1D 1H-NMR spectra of study datasets</t>
  </si>
  <si>
    <t>Provides an open-source tool for automatic profiling of 1H-NMR spectra with improved reproducibility and metabolite identification</t>
  </si>
  <si>
    <t>● Incorporates novel techniques for exploratory analysis and metabolite identification
● Enhances reproducibility of profiling
● GUI allows non-programmers to use it easily</t>
  </si>
  <si>
    <t>● Cannot deconvolute signals more complex than quadruplets
● Identification accuracy decreases for less-studied biofluids</t>
  </si>
  <si>
    <t>Daniel Cañueto, Josep Gómez, Reza M. Salek, Xavier Correig, Nicolau Cañellas</t>
  </si>
  <si>
    <t>● Automatic metabolite profiling
● Signal deconvolution and quantification
● Metabolite identification
● Exploratory data analysis
● Quality validation of profiling output</t>
  </si>
  <si>
    <t>● Region of interest (ROI) lineshape fitting
● Baseline estimation
● Signal parameter optimization (chemical shift, intensity, half bandwidth, j-coupling)
● Machine learning prediction of signal parameters
● Affinity propagation algorithm
● STOCSY and RANSY for metabolite identification</t>
  </si>
  <si>
    <t>● Bruker format (pre-processed spectra)
● .csv files</t>
  </si>
  <si>
    <t>● Metabolite concentration tables
● .RData files (profiling sessions)
● Interactive Plotly figures
● Quality indicators tables</t>
  </si>
  <si>
    <t>● Fitting error
● Signal/total area ratio
● Number of metabolites profiled</t>
  </si>
  <si>
    <t xml:space="preserve">
● MTBLS1: 40 metabolites profiled
● MTBLS237: 34 metabolites profiled
● Exploratory analysis time: &lt;3 hours for new matrix</t>
  </si>
  <si>
    <t xml:space="preserve">
● Human Metabolome Database (HMDB)
● MetaboLights repository</t>
  </si>
  <si>
    <t xml:space="preserve">● Structured (Bruker, CSV) </t>
  </si>
  <si>
    <t>● 4,050 spectra across 25 metabolomics studies
● MTBLS1: 132 spectra (human urine)
● MTBLS237: 114 spectra (human faecal extract)</t>
  </si>
  <si>
    <t>https://link.springer.com/article/10.1007/s11306-018-1319-y</t>
  </si>
  <si>
    <t xml:space="preserve">https://github.com/danielcanueto/rDolphin </t>
  </si>
  <si>
    <t>● R package
● Shiny GUI
● Plotly interactive figures</t>
  </si>
  <si>
    <t>● NMR-based metabolomics studies
● Metabolite profiling in complex biological matrices
● Urine metabolomics
● Fecal metabolomics</t>
  </si>
  <si>
    <r>
      <t xml:space="preserve">Cañueto, D., Gómez, J., Salek, R. M., Correig, X., &amp; Cañellas, N. (2020). rDolphin: a GUI R package for proficient automatic profiling of 1D 1H-NMR spectra of study datasets. </t>
    </r>
    <r>
      <rPr>
        <i/>
        <sz val="12"/>
        <color rgb="FF000000"/>
        <rFont val="Calibri"/>
        <family val="2"/>
        <scheme val="major"/>
      </rPr>
      <t>Microchemical Journal</t>
    </r>
    <r>
      <rPr>
        <sz val="12"/>
        <color rgb="FF000000"/>
        <rFont val="Calibri"/>
        <family val="2"/>
        <scheme val="major"/>
      </rPr>
      <t>, 153, 104830.</t>
    </r>
  </si>
  <si>
    <t>ReDU</t>
  </si>
  <si>
    <t>ReDU: a framework to find and reanalyze public mass spectrometry data</t>
  </si>
  <si>
    <t>A platform for systematically capturing and reanalyzing public mass spectrometry (MS) data using structured metadata</t>
  </si>
  <si>
    <t>● Repository-scale analysis (38,305 files, 19.6% of GNPS)
● Validated metadata using controlled vocabularies
● Multiple analysis tools (PCA, Chemical Explorer, Group Comparator)
● Molecular networking integration
● Web-based interface with drag-and-drop validator</t>
  </si>
  <si>
    <t>● Limited to publicly available datasets 
● Requires adherence to strict metadata standards</t>
  </si>
  <si>
    <t>Wang, M., Jarmusch, A. K., Vargas, F., Thakur, A. M., Gauglitz, J. M., Weldon, R. A., Gentry, E. C., Garg, N., Panitchpakdi, M., van der Hooft, J. J. J., Ernst, M., Kline, K. K., Melnik, A. V., Watrous, J., &amp; Dorrestein, P. C.</t>
  </si>
  <si>
    <t>● Metadata-based file selection and filtering
● Repository-scale molecular networking
● Chemical annotation via spectral library matching
● Multivariate analysis (PCA)
● Group comparison</t>
  </si>
  <si>
    <t>● Spectral library matching (GNPS)
● Molecular networking (cosine similarity)
● Principal component analysis (PCA)
● Emperor visualization
● MolNetEnhancer integration</t>
  </si>
  <si>
    <t>● .mzXML files
● .mzML files
● Metadata templates (controlled vocabularies)</t>
  </si>
  <si>
    <t>● Molecular networks
● PCA plots (Emperor)
● Chemical annotation tables
● Group comparison tables
● .csv downloads</t>
  </si>
  <si>
    <t>● Annotation rate
● False discovery rate (FDR)</t>
  </si>
  <si>
    <t>● Annotation rate: 4.39%
● FDR: ~1%
● 4,528,624 annotated spectra from 103,230,404 total
● 13,217 unique MS/MS library matches</t>
  </si>
  <si>
    <t>● GNPS spectral libraries
● MassIVE repository
● NCBI Taxonomy
● UBERON
● DOID (Disease Ontology)</t>
  </si>
  <si>
    <t xml:space="preserve">● Structured (mzML, mzXML) 
● Semi-Structured (JSON) </t>
  </si>
  <si>
    <t>● 38,305 files (19.6% of GNPS)
● 103,230,404 MS/MS spectra
● 4,528,624 annotated spectra
● 13,217 unique library matches
● 6,115 human samples (blood, fecal, urine) in example</t>
  </si>
  <si>
    <t xml:space="preserve">https://redu.ucsd.edu/ </t>
  </si>
  <si>
    <t>● https://github.com/mwang87/ReDU-MS2-GNPS
● https://doi.org/10.5281/zenodo.3924422</t>
  </si>
  <si>
    <t>● Web platform (https://redu.ucsd.edu/)
● Python (Flask framework)
● SQLite
● Vue.js</t>
  </si>
  <si>
    <t>● Repository-scale metabolomics data analysis
● Metabolite discovery across sample types
● Drug and metabolite localization studies
● Comparative metabolomics
● Molecular cartography</t>
  </si>
  <si>
    <r>
      <t xml:space="preserve">Wang, M., Jarmusch, A. K., Vargas, F., Thakur, A. M., Gauglitz, J. M., Weldon, R. A., Gentry, E. C., Garg, N., Panitchpakdi, M., van der Hooft, J. J. J., Ernst, M., Kline, K. K., Melnik, A. V., Watrous, J., &amp; Dorrestein, P. C. (2020). ReDU: a framework to find and reanalyze public mass spectrometry data. </t>
    </r>
    <r>
      <rPr>
        <i/>
        <sz val="12"/>
        <color rgb="FF000000"/>
        <rFont val="Calibri"/>
        <family val="2"/>
        <scheme val="major"/>
      </rPr>
      <t>Nature Methods</t>
    </r>
    <r>
      <rPr>
        <sz val="12"/>
        <color rgb="FF000000"/>
        <rFont val="Calibri"/>
        <family val="2"/>
        <scheme val="major"/>
      </rPr>
      <t>, 17(9), 901-904.</t>
    </r>
  </si>
  <si>
    <t>RGCxGC toolbox</t>
  </si>
  <si>
    <t>RGCxGC toolbox: An R-package for data processing in comprehensive two-dimensional gas chromatography-mass spectrometry</t>
  </si>
  <si>
    <t>Provides an open-source R package for pre-processing and multivariate analysis of comprehensive two-dimensional gas chromatography-mass spectrometry (GC×GC-MS) data</t>
  </si>
  <si>
    <t>● Integrates baseline correction, smoothing, peak alignment, and multivariate analysis in a single pipeline
● Enables connection with external chemometric tools
● Open-source software reducing dependency on proprietary tools</t>
  </si>
  <si>
    <t>● Computational time increases with dataset size, making large-scale experiments time-consuming
● Performance of MPCA for classification is lower than supervised methods like PLS-DA</t>
  </si>
  <si>
    <t>Cristian Quiroz-Moreno, Mayra Fontes Furlan, João Raul Belinato, Fabio Augusto, Guilherme L. Alexandrino, Noroska Gabriela Salazar Mogollón</t>
  </si>
  <si>
    <t>Microchemical Journal</t>
  </si>
  <si>
    <t>● Feature extraction
● Peak alignment
● Clustering</t>
  </si>
  <si>
    <t xml:space="preserve">
● Whittaker smoother
● Asymmetric least squares
● Two-dimensional correlation optimized warping (2DCOW)
● Multiway Principal Component Analysis (MPCA)</t>
  </si>
  <si>
    <t>● NetCDF files</t>
  </si>
  <si>
    <t>● Processed chromatograms
● Scores matrices
● Loadings matrices</t>
  </si>
  <si>
    <t xml:space="preserve">● Explained variance in MPCA
● Accuracy of PLS-DA classification	</t>
  </si>
  <si>
    <t>● MPCA: 60.48% explained variance (Penicillium dataset)
● MPCA: ~70% explained variance (Myrothecium dataset)
● MPCA: &lt;15% explained variance (Salmonella dataset)
● Peak alignment: 82 min for 100 samples</t>
  </si>
  <si>
    <t>● MetaboLights (MTBLS579)
● NIST 2008 spectra library
● In-house experimental data</t>
  </si>
  <si>
    <t>● 30 samples (Salmonella dataset)
● 18 samples (Penicillium dataset)
● 38 samples (Myrothecium dataset)
● Up to 2 GB raw files per sample</t>
  </si>
  <si>
    <t>● &gt;1 GB</t>
  </si>
  <si>
    <t>https://www.sciencedirect.com/science/article/pii/S0026265X20304914?via%3Dihub</t>
  </si>
  <si>
    <t>https://cran.r-project.org/web/packages/RGCxGC/index.html</t>
  </si>
  <si>
    <t>● R package
● CRAN repository</t>
  </si>
  <si>
    <t>● Metabolomics
● Exploratory data analysis
● Non-targeted analysis
● Peak detection and alignment</t>
  </si>
  <si>
    <r>
      <t xml:space="preserve">Quiroz-Moreno, C., Furlan, M. F., Belinato, J. R., Augusto, F., Alexandrino, G. L., &amp; Mogollón, N. G. S. (2020). RGCxGC toolbox: An R-package for data processing in comprehensive two-dimensional gas chromatography-mass spectrometry. </t>
    </r>
    <r>
      <rPr>
        <i/>
        <sz val="12"/>
        <color rgb="FF000000"/>
        <rFont val="Calibri"/>
        <family val="2"/>
        <scheme val="major"/>
      </rPr>
      <t>Microchemical Journal</t>
    </r>
    <r>
      <rPr>
        <sz val="12"/>
        <color rgb="FF000000"/>
        <rFont val="Calibri"/>
        <family val="2"/>
        <scheme val="major"/>
      </rPr>
      <t>, 156, 104830.</t>
    </r>
  </si>
  <si>
    <t>SCALiR</t>
  </si>
  <si>
    <t>SCALiR: A Web Application for Automating Absolute Quantification of Mass Spectrometry-Based Metabolomics Data</t>
  </si>
  <si>
    <t>SCALiR is a web-based software designed for quantitative metabolomics, automating the transformation of LC-MS signals into absolute concentration values</t>
  </si>
  <si>
    <t>● Automates quantitative workflows, reducing analysis time 
● Requires minimal computational expertise 
● Open-source and vendor-agnostic</t>
  </si>
  <si>
    <t>● Uses a logarithmic transformation that may not be suitable for all datasets 
● Relies on external standard curves, which require careful calibration</t>
  </si>
  <si>
    <t>Luis F. Ponce, Stephanie L. Bishop, Soren Wacker, Ryan A. Groves, Ian A. Lewis</t>
  </si>
  <si>
    <t>● Quantification
● Standard curve fitting
● Linear range determination</t>
  </si>
  <si>
    <t>● Logarithmic transformation
● Iterative linear regression
● Goodness-of-fit evaluation (residual minimization)</t>
  </si>
  <si>
    <t>● .csv files (peak data)
● .xlsx files (peak data)
● mzXML files (converted from raw data)
● Standard concentration files (.csv, .xlsx)</t>
  </si>
  <si>
    <t>● .csv files (metabolite concentrations)
● .xlsx files (metabolite concentrations)
● Standard curve parameters (slope, intercept, linear range)
● Log-log plots (downloadable images)</t>
  </si>
  <si>
    <t xml:space="preserve">
● R² (coefficient of determination)
● Residual function
● Coefficient of variation (CV)
● FDA accuracy criteria (±15% of nominal concentration)</t>
  </si>
  <si>
    <t>● R² = 0.99 (SCALiR vs actual concentrations)
● R² = 0.98 (manual vs actual concentrations)
● R² = 0.99 (SCALiR vs manual)
● Average CV = 0.091 across 10 batches
● 85% of calibrators within ±15% FDA criteria
● Analysis time: &lt;10s for &gt;75 compounds</t>
  </si>
  <si>
    <t>● In-house metabolite standards (77 compounds)
● Staphylococcus aureus samples (Mueller-Hinton medium)</t>
  </si>
  <si>
    <t>● Structured (CSV, Excel)</t>
  </si>
  <si>
    <t>● 77 metabolites
● 10-point dilution series (standard validation)
● 8-point dilution series (S. aureus analysis)
● &gt;3,000 injections (batch effects study)
● 10 analytical batches</t>
  </si>
  <si>
    <t>https://pubs.acs.org/doi/suppl/10.1021/acs.analchem.3c04988/suppl_file/ac3c04988_si_001.pdf</t>
  </si>
  <si>
    <t>● https://github.com/LewisResearchGroup/ms-conc
● https://www.lewisresearchgroup.org/software</t>
  </si>
  <si>
    <t>● Python (Version 3)
● Streamlit (web interface)
● Web-based application (no installation required)</t>
  </si>
  <si>
    <t>● Quantitative metabolomics
● Biomarker discovery
● Metabolic network modeling</t>
  </si>
  <si>
    <t>Ponce, L. F., Bishop, S. L., Wacker, S., Groves, R. A., &amp; Lewis, I. A. (2024). SCALiR: A Web Application for Automating Absolute Quantification of Mass Spectrometry-Based Metabolomics Data. Analytical Chemistry, 92(16), 6566-6574.</t>
  </si>
  <si>
    <t>Scikit Learn</t>
  </si>
  <si>
    <t>Machine Learning Made Easy: A Review of Scikit-learn Package in Python Programming Language</t>
  </si>
  <si>
    <t>Scikit-learn is an open-source Python package that provides efficient implementations of supervised and unsupervised machine learning algorithms</t>
  </si>
  <si>
    <t>● Comprehensive coverage of ML methods
● Optimized for computational efficiency
● Strong community support for documentation and quality assurance</t>
  </si>
  <si>
    <t>● Lacks some specialized ML methods 
● Users may need to integrate with other tools for advanced tasks</t>
  </si>
  <si>
    <t>Jiangang Hao, Tin Kam Ho</t>
  </si>
  <si>
    <t>Journal of Educational and Behavioral Statistics</t>
  </si>
  <si>
    <t>● ● Classification
● Regression
● Clustering
● Model evaluation</t>
  </si>
  <si>
    <t>● Support Vector Machine (SVM)
● Random Forest
● Artificial Neural Network (MLP)
● Logistic Regression (Maximum Entropy)
● Cross-validation
● Grid search</t>
  </si>
  <si>
    <t>● NumPy arrays
● CSV files
● Structured data</t>
  </si>
  <si>
    <t>● Predictions
● Class labels
● Model parameters</t>
  </si>
  <si>
    <t>● Accuracy 
● Cohen’s Kappa</t>
  </si>
  <si>
    <t>● Accuracy: 0.986 (SVM)
● Accuracy: 0.993 (Random Forest)
● Cohen's Kappa: 0.859 (Logistic Regression)
● 3-fold cross-validation scores</t>
  </si>
  <si>
    <t xml:space="preserve">● Public datasets (Iris dataset, UCI ML repository)	</t>
  </si>
  <si>
    <t xml:space="preserve">● Structured (NumPy arrays, CSV, JSON) </t>
  </si>
  <si>
    <t>● 150 observations (Iris dataset)
● 4 features
● 3 classes</t>
  </si>
  <si>
    <t xml:space="preserve">https://scikit-learn.org/stable/user_guide.html </t>
  </si>
  <si>
    <t>https://scikit-learn.org/stable/</t>
  </si>
  <si>
    <t>● Python package
● pip install scikit-learn
● Anaconda distribution</t>
  </si>
  <si>
    <t>● Educational data science
● Machine learning research
● Classification tasks
● Model evaluation and selection</t>
  </si>
  <si>
    <t>Hao, J., &amp; Ho, T. K. (2019). Machine learning made easy: a review of scikit-learn package in python programming language. Journal of educational and behavioral statistics, 44(3), 348-361.</t>
  </si>
  <si>
    <t>Sdmixer</t>
  </si>
  <si>
    <t>SDmixer-a versatile software tool for spectral demixing of multicolor single molecule localization data</t>
  </si>
  <si>
    <t>SDmixer is an open-source software tool designed for spectral demixing (SD) in single-molecule localization microscopy (SMLM), allowing low-crosstalk multicolor imaging</t>
  </si>
  <si>
    <t>● User-friendly GUI for non-experts
● Supports both 2D and 3D localization data processing 
● Compatible with multiple SML software</t>
  </si>
  <si>
    <t>● Requires specific input formats for localization data 
● Limited customization for advanced users</t>
  </si>
  <si>
    <t>Technical Note</t>
  </si>
  <si>
    <t>Georgi Tadeus, André Lampe, Jan Schmoranzer</t>
  </si>
  <si>
    <t>Methods and Applications in Fluorescence</t>
  </si>
  <si>
    <t>● Spectral demixing
● Localization pair identification
● Color assignment
● Image reconstruction</t>
  </si>
  <si>
    <t>● PairFinder algorithm
● MultiColorFilter
● Offset optimization
● Grouping feature
● Nearest-neighbor statistics</t>
  </si>
  <si>
    <t>● Localization files (text format) containing x, y, z coordinates
● Intensities
● Frame numbers</t>
  </si>
  <si>
    <t>● Super-resolved images
● Color-assigned localization lists
● 2D intensity histograms</t>
  </si>
  <si>
    <t xml:space="preserve">● Crosstalk reduction rate 
● Image resolution enhancement	</t>
  </si>
  <si>
    <t>● Color crosstalk: &lt;1-2%
● Registration error: eliminated</t>
  </si>
  <si>
    <t>● Compatible with rapidSTORM output
● Compatible with multiple SML software outputs</t>
  </si>
  <si>
    <t>● Semi-structured (Localization text files)</t>
  </si>
  <si>
    <t xml:space="preserve">https://sourceforge.net/projects/sdmixer/ </t>
  </si>
  <si>
    <t>https://github.com/gtadeus/sdmixer2</t>
  </si>
  <si>
    <t>● C++ with Qt framework
● GUI application
● Cross-platform (Windows, Linux, iOS)</t>
  </si>
  <si>
    <t>● Super-resolution imaging in fluorescence microscopy</t>
  </si>
  <si>
    <t>Tadeus, G., Lampe, A., &amp; Schmoranzer, J. (2015). SDmixer-a versatile software tool for spectral demixing of multicolor single molecule localization data. Methods and Applications in Fluorescence, 3(3), 037001.</t>
  </si>
  <si>
    <t>SIFTER</t>
  </si>
  <si>
    <t>Chemical Class Prediction of Unknown Biomolecules Using Ion Mobility-Mass Spectrometry and Machine Learning: Supervised Inference of Feature Taxonomy from Ensemble Randomization</t>
  </si>
  <si>
    <t>SIFTER is a machine learning algorithm that classifies unknown molecules from untargeted ion mobility-mass spectrometry (IM-MS) data into chemical taxonomies</t>
  </si>
  <si>
    <t>● High classification accuracy (&gt;99%) for test set 
● Provides probability scores and alternative classifications 
● Utilizes a large training dataset from the CCS Compendium</t>
  </si>
  <si>
    <t>● Performance drops (~81%) for complex biological matrix samples
● Nearest-neighbor bias in Random Forest predictions</t>
  </si>
  <si>
    <t>Jaqueline A. Picache, Jody C. May, John A. McLean</t>
  </si>
  <si>
    <t>● Classification</t>
  </si>
  <si>
    <t>● Random Forest
● Ensemble learning
● Out-of-bag error estimation</t>
  </si>
  <si>
    <t>● Mass-to-charge ratio (m/z) 
● Collision Cross Section (CCS) 
● Kendrick Mass Defect (KMD)</t>
  </si>
  <si>
    <t>● Predicted chemical classifications (Kingdom, Super Class, Class, Subclass)</t>
  </si>
  <si>
    <t>● Out-of-bag error (OOB)
● Sensitivity
● Specificity
● Confusion matrix
● ROC curves
● Success rate</t>
  </si>
  <si>
    <t>● Test set: &gt;99% success (4/4 correct classifications)
● Complex samples: 81% success (4/4 correct)
● OOB error: 0.68% (kingdom), 22.82% (super class), 10.24% (class), 15.27% (subclass)
● Kingdom accuracy: 100%
● Super class accuracy: 87% (complex samples)
● Class accuracy: 82% (complex samples)
● Subclass accuracy: 81% (complex samples)</t>
  </si>
  <si>
    <t>● Unified CCS Compendium
● ClassyFire Chemical Class Dictionary</t>
  </si>
  <si>
    <t xml:space="preserve">● Structured (CSV, XLSX) </t>
  </si>
  <si>
    <t>● 2365 compounds (training set)
● 2011 training compounds
● 354 test compounds
● 100 complex biological sample compounds
● 2 kingdoms
● 14 super classes
● 89 classes
● 158 subclasses</t>
  </si>
  <si>
    <t xml:space="preserve">https://pubs.acs.org/doi/suppl/10.1021/acs.analchem.0c02137/suppl_file/ac0c02137_si_001.pdf </t>
  </si>
  <si>
    <t xml:space="preserve">https://github.com/mcleanlab </t>
  </si>
  <si>
    <t>● R (R Foundation for Statistical Computing)
● randomForest package (v4.6-14)</t>
  </si>
  <si>
    <t>● Metabolite classification
● Untargeted metabolomics
● Biomarker discovery</t>
  </si>
  <si>
    <t>Picache, J. A., May, J. C., &amp; McLean, J. A. (2020). Chemical Class Prediction of Unknown Biomolecules Using Ion Mobility-Mass Spectrometry and Machine Learning: Supervised Inference of Feature Taxonomy from Ensemble Randomization. Analytical Chemistry, 92(16), 10759-10767.</t>
  </si>
  <si>
    <t>SIRIUS</t>
  </si>
  <si>
    <t>SIRIUS 4: a rapid tool for turning tandem mass spectra into metabolite structure information</t>
  </si>
  <si>
    <t>Computational tool for automated metabolite structure identification from tandem mass spectrometry data using fragmentation trees and molecular fingerprint prediction</t>
  </si>
  <si>
    <t xml:space="preserve">
● Fast processing (&gt;100-fold speedup vs previous version)
● High identification rates (&gt;70% on challenging datasets)
● No spectral library required
● Integrates molecular formula and structure identification
● Open-source with GUI and command-line interfaces</t>
  </si>
  <si>
    <t xml:space="preserve">
● Performance decreases for structures absent from training data
● Requires high-resolution MS/MS data
● Limited to compounds with predictable fragmentation patterns
● Dependent on database completeness
● Structure-disjoint performance lower than with training analogs</t>
  </si>
  <si>
    <t>Dührkop, K., Fleischauer, M., Ludwig, M., Aksenov, A.A., Melnik, A.V., Meusel, M., Dorrestein, P.C., Rousu, J. and Böcker, S.</t>
  </si>
  <si>
    <t>Nature methods</t>
  </si>
  <si>
    <t xml:space="preserve">
● Molecular formula identification
● Structure database search
● Molecular fingerprint prediction
● Fragmentation tree computation
● Metabolite annotation</t>
  </si>
  <si>
    <t xml:space="preserve">
● Maximum a posteriori estimation
● Fragmentation trees
● Support vector machines (SVM)
● Deep neural networks (DNN)
● Bayesian network scoring
● Multiple kernel learning</t>
  </si>
  <si>
    <t>● MS/MS spectra
● Isotope patterns (MS1)
● .mgf files
● .ms files
● .mzML files
● .mzXML files</t>
  </si>
  <si>
    <t xml:space="preserve">
● Molecular formulas (ranked)
● Fragmentation trees
● Molecular fingerprints (predicted)
● Structure candidates (ranked)
● CSI:FingerID scores</t>
  </si>
  <si>
    <t>● Correct identification rate
● Top-k accuracy
● Molecular formula assignment accuracy
● Structure identification accuracy
● Cross-validation accuracy</t>
  </si>
  <si>
    <t xml:space="preserve">
● CASMI 2016 positive: 39.4% correct (top 1), 74.8% (top 10)
● CASMI 2016 negative: 28.4% correct (top 1), 60.5% (top 10)
● Cross-validation GNPS: 40.4% correct
● Biomolecule database: 74.0% correct (top 1), 84.3% (top 3)
● Molecular formula: 93.8% correct (MS/MS + isotope)</t>
  </si>
  <si>
    <t>● MassBank
● GNPS
● NIST 2017
● PubChem
● ChemSpider
● Biomolecule structure databases</t>
  </si>
  <si>
    <t>● MS/MS spectra
● Isotope patterns
● Molecular structures
● Molecular fingerprints
● Fragmentation trees</t>
  </si>
  <si>
    <t xml:space="preserve">
● 16,083 training structures
● 19,118 positive mode measurements
● 10,823 negative mode measurements
● 3,965 compounds (evaluation)
● 127 CASMI 2016 compounds (positive)
● 93,859,798 PubChem compounds
● 492,921 biomolecule structures</t>
  </si>
  <si>
    <t xml:space="preserve">
● https://bio.informatik.uni-jena.de/data
● https://massive.ucsd.edu/ (MSV000080186, MSV000080187, MSV000081379)
● https://gnps.ucsd.edu/ProteoSAFe/status.jsp</t>
  </si>
  <si>
    <t>● https://bio.informatik.uni-jena.de/sirius/
● https://github.com/boecker-lab/sirius</t>
  </si>
  <si>
    <t>● Java
● RESTful web service
● GUI (graphical user interface)
● Command-line interface</t>
  </si>
  <si>
    <t>● Metabolite identification
● Natural products research
● Untargeted metabolomics
● Environmental research
● Biomarker discovery
● Drug discovery</t>
  </si>
  <si>
    <t>Dührkop, K., Fleischauer, M., Ludwig, M., Aksenov, A. A., Melnik, A. V., Meusel, M., ... &amp; Böcker, S. (2019). SIRIUS 4: a rapid tool for turning tandem mass spectra into metabolite structure information. Nature methods, 16(4), 299-302.‏</t>
  </si>
  <si>
    <t>Skyline</t>
  </si>
  <si>
    <t>Using Skyline to Analyze Data-Containing Liquid
Chromatography, Ion Mobility Spectrometry, and Mass
Spectrometry Dimensions</t>
  </si>
  <si>
    <t>Skyline is a data analysis tool tailored for LC-IMS-MS workflows, enabling multidimensional data interpretation and enhanced quantification in proteomics and metabolomics.</t>
  </si>
  <si>
    <t>● Multi-vendor support (Agilent, Waters, Bruker)
● Automated extraction of precursor and fragment ions
● Improved calibration curves with IMS filtering
● Open-source software
● Rapid analysis (hours vs days for manual processing)</t>
  </si>
  <si>
    <t>● Requires manual peak integration adjustment at low concentrations
● Limited to specific vendor data formats
● No mention of computational performance limitations
● Requires training for optimal use</t>
  </si>
  <si>
    <t>Brendan X. MacLean, Brian S. Pratt, Jarrett D. Egertson, Michael J. MacCoss, Richard D. Smith, Erin S. Baker</t>
  </si>
  <si>
    <t>American Society for Mass Spectrometry</t>
  </si>
  <si>
    <t>● Peak extraction
● Peak area quantification
● Calibration curve generation
● Ion chromatogram analysis</t>
  </si>
  <si>
    <t>● Extracted ion chromatogram (XIC) analysis
● Drift time filtering
● Peak integration algorithms
● Multi-dimensional filtering (LC, IMS, MS)</t>
  </si>
  <si>
    <t>● .d files (Agilent)
● Vendor-specific raw data formats
● Peptide target lists</t>
  </si>
  <si>
    <t>●  Structured Data (quantification results, peak areas)</t>
  </si>
  <si>
    <t>● Limit of detection (LOD)
● Calibration curve linearity (R²)
● Dynamic range
● Signal-to-noise ratio</t>
  </si>
  <si>
    <t>● LOD: ~100 pM (with IMS filtering)
● LOD: ~1 nM (without IMS filtering for MS1)
● Dynamic range: ~3.5 orders of magnitude (with IMS)
● Dynamic range: ~2.5 orders (without IMS)</t>
  </si>
  <si>
    <t>● BSA (Sigma-Aldrich)
● Yeast protein extract (Promega)</t>
  </si>
  <si>
    <t>● LC-IMS-MS data
● LC-IMS-CID-MS fragmentation data
● Tryptic peptide digests</t>
  </si>
  <si>
    <t>● 8 yeast datasets
● 7 BSA concentration levels
● 38 BSA peptides analyzed
● 6-8 transitions per peptide</t>
  </si>
  <si>
    <t>● http://panoramaweb.org/baker-ims.url</t>
  </si>
  <si>
    <t>● https://skyline.ms</t>
  </si>
  <si>
    <t>● .NET desktop application
● Skyline software (version 3.7.0.11317)</t>
  </si>
  <si>
    <t>● Proteomics
● Metabolomics
● Targeted peptide quantification
● Data-independent acquisition (DIA) analysis
● Complex sample characterization</t>
  </si>
  <si>
    <t>MacLean, B. X., Pratt, B. S., Egertson, J. D., MacCoss, M. J., Smith, R. D., &amp; Baker, E. S. (2018). Using skyline to analyze data-containing liquid chromatography, ion mobility spectrometry, and mass spectrometry dimensions. Journal of The American Society for Mass Spectrometry, 29(11), 2182-2188.</t>
  </si>
  <si>
    <t>SMART</t>
  </si>
  <si>
    <t>Single Molecule Analysis Research Tool (SMART): An Integrated Approach for Analyzing Single Molecule Data</t>
  </si>
  <si>
    <t>SMART is a software package for analyzing single-molecule data, providing standardization, visualization, and hidden Markov modeling (HMM) capabilities</t>
  </si>
  <si>
    <t>● Rigorous statistical framework using HMM with maximum likelihood estimation
● Automated confidence interval calculation for model parameters
● Integrated model selection via Bayesian Information Criterion (BIC)
● Clustering algorithms to identify molecular heterogeneity
● Graphical user interface streamlines data analysis</t>
  </si>
  <si>
    <t>● HMM approximations may fail for complex kinetic models (e.g., stretched exponentials)
● BIC model selection has known theoretical limitations
● Clustering does not provide quantitative confidence measures
● Performance degradation at low SNR (&lt;1)</t>
  </si>
  <si>
    <t>Max Greenfeld, Dmitri S. Pavlichin, Hideo Mabuchi, Daniel Herschlag</t>
  </si>
  <si>
    <t>● Kinetic model fitting to single molecule traces
● Model selection among candidate models
● Clustering for heterogeneity assessment</t>
  </si>
  <si>
    <t>● Hidden Markov Models (HMM)
● Maximum likelihood estimation (MLE)
● Baum-Welch algorithm
● Bayesian Information Criterion (BIC)
● Expectation-maximization clustering</t>
  </si>
  <si>
    <t>● Time-series intensity traces
● FRET donor and acceptor fluorescence channels</t>
  </si>
  <si>
    <t>● Kinetic parameters (rate constants)
● Confidence intervals
● Model selection statistics (BIC)
● Cluster assignments
● Visualizations (plots, histograms)</t>
  </si>
  <si>
    <t>● Accuracy of rate constant determination
● Model likelihood
● Bayesian Information Criterion (BIC)</t>
  </si>
  <si>
    <t>● Accurate rate constant inference at SNR &gt;1
● Two-fold rate constant differences detectable via clustering at SNR 2-15
● 90% correct cluster partitioning at SNR 5</t>
  </si>
  <si>
    <t>● Simulated single molecule traces
● P4-P6 RNA experimental smFRET data</t>
  </si>
  <si>
    <t>● Single molecule fluorescence time-series
● smFRET traces
● Simulated Poissonian emission data</t>
  </si>
  <si>
    <t>● 200 simulated traces (two-state model)
● 1000 simulated traces (three-state model)
● 1196 P4-P6 RNA experimental traces</t>
  </si>
  <si>
    <t xml:space="preserve">https://simtk.org/home/smart </t>
  </si>
  <si>
    <t>● MATLAB software package
● Graphical user interface</t>
  </si>
  <si>
    <t xml:space="preserve">● Single-molecule kinetics analysis
● Experimental design assistance </t>
  </si>
  <si>
    <t>Greenfeld, M., Pavlichin, D. S., Mabuchi, H., &amp; Herschlag, D. (2012). Single Molecule Analysis Research Tool (SMART): An Integrated Approach for Analyzing Single Molecule Data. PLOS ONE, 7(2), e30024.</t>
  </si>
  <si>
    <t>Spec2Vec</t>
  </si>
  <si>
    <t>Spec2Vec: Improved mass spectral similarity scoring through learning of structural relationships</t>
  </si>
  <si>
    <t>Novel spectral similarity scoring method using Word2Vec-inspired machine learning to learn fragment relationships from MS/MS data co-occurrences, improving structural similarity correlation compared to cosine-based scores</t>
  </si>
  <si>
    <t xml:space="preserve">
● Better correlation with structural similarity than cosine scores
● Fast computation enabling large-scale database searches
● Unsupervised learning applicable to any spectra collection
● Improved library matching accuracy (88% vs 80%)
● Better molecular networking cluster quality</t>
  </si>
  <si>
    <t xml:space="preserve">
● Requires training data with sufficient feature coverage
● Performance depends on training dataset size and quality
● Not validated for GC-MS data
● May need retraining for optimal performance in some applications</t>
  </si>
  <si>
    <t>Huber, F., Ridder, L., Verhoeven, S., Spaaks, J.H., Diblen, F., Rogers, S. and Van Der Hooft, J.J</t>
  </si>
  <si>
    <t xml:space="preserve">
● Spectral similarity scoring
● Library matching
● Molecular networking
● Unknown compound annotation</t>
  </si>
  <si>
    <t xml:space="preserve">
● Word2Vec (natural language processing adaptation)
● Unsupervised machine learning
● Continuous Bag of Words (CBOW)
● Spectral embedding generation</t>
  </si>
  <si>
    <t>● mzML files
● GNPS library spectra (.json)</t>
  </si>
  <si>
    <t>● Similarity scores (numerical)
● Embedding vectors
● Network graphs</t>
  </si>
  <si>
    <t xml:space="preserve">
● Tanimoto similarity correlation
● True/false positive rates
● Accuracy
● Retrieval rates
● Structural similarity scores</t>
  </si>
  <si>
    <t xml:space="preserve">
● Correlation with Tanimoto: higher than cosine scores
● Library matching accuracy: 88%
● Query speed: 0.14s per spectrum (1030 vs 76,062 spectra)
● Training time: 30-40 minutes (12,797 spectra)
● Clustering: &gt;35% spectra in high similarity clusters</t>
  </si>
  <si>
    <t xml:space="preserve">
● GNPS MS/MS libraries
● MassBank
● PubChem
● InChIKey annotations</t>
  </si>
  <si>
    <t xml:space="preserve">
● MS/MS spectra (positive ionization)
● Molecular fingerprints
● InChIKey annotations
● Peak m/z and intensity values</t>
  </si>
  <si>
    <t xml:space="preserve">
● 95,320 spectra (AllPositive dataset)
● 77,092 spectra with InChIKey
● 12,797 unique InChIKeys (UniqueInchikey dataset)
● 154,820 original GNPS spectra</t>
  </si>
  <si>
    <t xml:space="preserve">
● https://doi.org/10.5281/zenodo.3978118
● https://doi.org/10.5281/zenodo.3979010</t>
  </si>
  <si>
    <t xml:space="preserve">
● https://github.com/matchms/matchms
● https://github.com/iomega/spec2vec
● https://doi.org/10.5281/zenodo.3978054
● https://zenodo.org/record/4173596</t>
  </si>
  <si>
    <t xml:space="preserve">
● Python packages (matchms, spec2vec)
● Available via conda
● Gensim for Word2Vec
● NumPy and Numba optimization</t>
  </si>
  <si>
    <t xml:space="preserve">
● Metabolite identification
● Library matching
● Molecular networking
● Unknown compound annotation
● Drug discovery
● Natural product discovery
● Clinical metabolomics</t>
  </si>
  <si>
    <t>Huber, F., Ridder, L., Verhoeven, S., Spaaks, J. H., Diblen, F., Rogers, S., &amp; Van Der Hooft, J. J. (2021). Spec2Vec: Improved mass spectral similarity scoring through learning of structural relationships. PLoS computational biology, 17(2), e1008724.‏</t>
  </si>
  <si>
    <t>Spectronaut</t>
  </si>
  <si>
    <t>Optimizing Spectronaut Search Parameters to Improve Data Quality with Minimal Proteome Coverage Reductions in DIA Analyses of Heterogeneous Samples</t>
  </si>
  <si>
    <t>The study evaluates and optimizes Spectronaut search parameters to enhance data quality in data-independent acquisition (DIA) proteomics while minimizing the reduction of proteome coverage</t>
  </si>
  <si>
    <t>● 89% reduction in false positive peptide and protein identifications
● Minimal cost with only 6.4% peptide and 5.2% protein identification loss
● Validated using biological samples with known false positives
● Applicable to heterogeneous populations beyond two-species analysis
● Improved XIC peak quality for remaining identifications</t>
  </si>
  <si>
    <t>● Optimized parameters did not completely eliminate all false positives
● 54% of remaining false proteins due to incorrect peptide-to-protein assignment rather than spurious identifications
● Requires manual inspection of XIC peaks for quality assessment
● Parameter optimization specific to Spectronaut software</t>
  </si>
  <si>
    <t>Christa P. Baker, Roland Bruderer, James Abbott, J. Simon C. Arthur, Alejandro J. Brenes</t>
  </si>
  <si>
    <t>● Peptide identification from DIA mass spectrometry data
● False positive minimization
● Protein quantification</t>
  </si>
  <si>
    <t>● Library-free directDIA with Hidden Markov Models
● Machine learning-based combined discriminant scoring
● Kernel density fitting for FDR estimation
● Bayesian Information Criterion for model selection
● Maximum likelihood estimation</t>
  </si>
  <si>
    <t>● .RAW files (Orbitrap Exploris 480)
● FASTA protein sequence databases</t>
  </si>
  <si>
    <t>● Peptide and protein identifications
● Quantitative intensity values
● Statistical significance values (q-values, PEP)
● Extracted ion chromatograms (XICs)</t>
  </si>
  <si>
    <t>● False positive rate
● Protein q-value
● Posterior error probability (PEP)
● False discovery rate (FDR)</t>
  </si>
  <si>
    <t>● 89% reduction in false positive identifications
● 6.4% reduction in true positive peptides
● 5.2% reduction in true positive proteins
● Default settings: 1514 false peptides reduced to 164 with optimized settings</t>
  </si>
  <si>
    <t>UniProt (M. musculus SwissProt)
● NCBI taxonomy (C. albicans TrEMBL)</t>
  </si>
  <si>
    <t>● DIA mass spectrometry data
● Protein sequences (FASTA)
● M. musculus bone marrow-derived macrophages lysates
● C. albicans lysates</t>
  </si>
  <si>
    <t>● 3 biological replicates (M. musculus)
● 6 total samples (3 spiked, 3 nonspiked)
● 25,489 M. musculus proteins in FASTA
● 6,035 C. albicans proteins in FASTA
● 95,113 M. musculus peptides identified (default settings)
● 32,083 C. albicans peptides identified in spiked samples</t>
  </si>
  <si>
    <t xml:space="preserve">https://www.ebi.ac.uk/pride/archive/projects/PXD045958 </t>
  </si>
  <si>
    <t>https://github.com/bartongroup/Mouse-C.albicans-Peptide-Overlaps</t>
  </si>
  <si>
    <t>● Spectronaut 16 and 17 software
● Python (Jupyter notebooks)
● R (Limma package for statistics)</t>
  </si>
  <si>
    <t xml:space="preserve">● Proteomics data analysis
● DIA mass spectrometry optimization </t>
  </si>
  <si>
    <t>Baker, C. P., Bruderer, R., Abbott, J., Arthur, J. S. C., &amp; Brenes, A. J. (2024). Optimizing Spectronaut Search Parameters to Improve Data Quality with Minimal Proteome Coverage Reductions in DIA Analyses of Heterogeneous Samples. Journal of Proteome Research, 23(4), 1926-1936.</t>
  </si>
  <si>
    <t>SwissSimilarity</t>
  </si>
  <si>
    <t>The SwissSimilarity 2021 Web Tool: Novel Chemical Libraries and Additional Methods for an Enhanced Ligand-Based Virtual Screening Experience</t>
  </si>
  <si>
    <t>SwissSimilarity is an online tool for ligand-based virtual screening, helping researchers find compounds similar to known bioactive molecules</t>
  </si>
  <si>
    <t>● Supports multiple molecular similarity methods (2D/3D fingerprints) 
● Provides access to a wide range of chemical libraries 
● Free, web-based platform</t>
  </si>
  <si>
    <t>● Performance of similarity methods varies depending on fingerprint selection 
● 3D screening is computationally expensive</t>
  </si>
  <si>
    <t>Bragina, M. E., Daina, A., Perez, M. A. S., Michielin, O., &amp; Zoete, V.</t>
  </si>
  <si>
    <t>● Similarity search
● Scaffold hopping</t>
  </si>
  <si>
    <t>● FP2 fingerprint
● ECFP4 (Extended-Connectivity Fingerprint)
● MHFP6 (MinHash Fingerprint)
● 2D pharmacophore fingerprint
● ErG (Extended Reduced Graph)
● ES5D (ElectroShape-5D)
● E3FP (Extended 3D Fingerprint)
● Murcko scaffold matching
● Tanimoto coefficient
● Manhattan distance</t>
  </si>
  <si>
    <t>● SMILES
● Molecular sketches (via MarvinJS)</t>
  </si>
  <si>
    <t xml:space="preserve">
● .csv files (similar compounds with similarity scores)
● Ranked lists of similar molecules
● Probability scores</t>
  </si>
  <si>
    <t>● Tanimoto coefficient
● Probability of sharing common protein target
● Manhattan distance-based similarity</t>
  </si>
  <si>
    <t>● Similarity thresholds: MHFP6 ≥0.18; E3FP ≥0.2; ECFP4 ≥0.25; 2D pharmacophore ≥0.35; FP2 ≥0.48; ERG ≥0.75; ES5D ≥0.83
● ~50% probability of sharing same protein target at defined thresholds
● Processing time: 200s for 30 million compounds (FP2, ECFP4, scaffold methods)</t>
  </si>
  <si>
    <t>● DrugBank (v5.1.8)
● Ligand Expo
● ChEBI
● GLASS
● HMDB (v5.0)
● ChEMBL (v29)
● ZINC20
● Vendor catalogs (Enamine, ChemBridge, Maybridge, etc.)</t>
  </si>
  <si>
    <t xml:space="preserve">● Structured (CSV, SDF)	 </t>
  </si>
  <si>
    <t>● 30 million compounds (Enamine tangible library)
● Multiple vendor libraries with millions of compounds
● ChEMBL: large compound database
● 10 million compound pairs (validation dataset)
● 2261 proteins (validation dataset)</t>
  </si>
  <si>
    <t xml:space="preserve">http://www.swisssimilarity.ch/ </t>
  </si>
  <si>
    <t>● Web-based application
● Python 3.9 (backend)
● HTML5, PHP 7.4.3, JavaScript (frontend)
● Slurm queuing system</t>
  </si>
  <si>
    <t xml:space="preserve">● Virtual screening
● Drug repurposing
● Lead discovery </t>
  </si>
  <si>
    <t>Bragina, M. E., Daina, A., Perez, M. A. S., Michielin, O., &amp; Zoete, V. (2021). The SwissSimilarity 2021 Web Tool: Novel Chemical Libraries and Additional Methods for an Enhanced Ligand-Based Virtual Screening Experience. Journal of Chemical Information and Modeling, 61(10), 4707-4720.</t>
  </si>
  <si>
    <t>TeachOpenCADD</t>
  </si>
  <si>
    <t>TeachOpenCADD: a teaching platform for computer-aided drug design using open source packages and data</t>
  </si>
  <si>
    <t>A platform providing interactive Jupyter notebooks to teach cheminformatics and structural bioinformatics concepts using open-source Python packages and data</t>
  </si>
  <si>
    <t>● Open-source and freely available
● Interactive Jupyter notebooks combining theory and practice
● Covers both ligand-based and structure-based approaches
● Step-by-step tutorials suitable for self-study and classroom teaching
● Uses real EGFR kinase example adaptable to other proteins</t>
  </si>
  <si>
    <t>● Requires basic Python programming knowledge
● Limited to available open-source datasets
● Currently covers only selected CADD topics (10 talktorials)</t>
  </si>
  <si>
    <t>Dominique Sydow, Andrea Morger, Maximilian Driller, Andrea Volkamer</t>
  </si>
  <si>
    <t>● Classification
● Clustering
● Similarity search
● Virtual screening
● Off-target prediction</t>
  </si>
  <si>
    <t>● Machine learning (Random Forest, SVM, ANN)
● Molecular fingerprints (MACCS, Morgan)
● Butina clustering
● Maximum common substructure (MCS)
● RMSD-based binding site comparison</t>
  </si>
  <si>
    <t>● SMILES strings
● PDB files</t>
  </si>
  <si>
    <t>● Jupyter notebooks (.ipynb)
● Processed molecular data
● Visualization outputs</t>
  </si>
  <si>
    <t>● ROC curves
● AUC
● Enrichment factor (EF)</t>
  </si>
  <si>
    <t>● Random Forest AUC: 90%
● SVM AUC: 87%
● ANN AUC: 87%
● EF5%: 8.3% (vs random 5.0%, optimal 9.2%)</t>
  </si>
  <si>
    <t>● ChEMBL
● PDB
● PubChem
● DrugBank</t>
  </si>
  <si>
    <t xml:space="preserve">
● Compound structures (SMILES)
● Protein structures (PDB)
● Bioactivity data (IC50 values)</t>
  </si>
  <si>
    <t>● 4,771 EGFR compounds (initial dataset)
● 4,009 compounds (after filtering)
● 988 clusters (from Butina clustering)
● 4 EGFR-ligand structures (from PDB)</t>
  </si>
  <si>
    <t xml:space="preserve">https://github.com/volkamerlab/TeachOpenCADD </t>
  </si>
  <si>
    <t>https://github.com/volkamerlab/TeachOpenCADD</t>
  </si>
  <si>
    <t>● Python
● Jupyter Notebooks
● Conda environment</t>
  </si>
  <si>
    <t>● Computer-aided drug design education
● Cheminformatics training
● Structural bioinformatics learning
● Virtual screening workflows</t>
  </si>
  <si>
    <t>Sydow, D., Morger, A., Driller, M., &amp; Volkamer, A. (2019). TeachOpenCADD: a teaching platform for computer-aided drug design using open source packages and data. Journal of Cheminformatics, 11(1), 1-7.</t>
  </si>
  <si>
    <t>TFX</t>
  </si>
  <si>
    <t>TFX: A TensorFlow-Based Production-Scale Machine Learning Platform</t>
  </si>
  <si>
    <t>TFX is a general-purpose ML platform that integrates multiple components to automate model training, validation, and deployment in production environments</t>
  </si>
  <si>
    <t>● Unified platform reducing custom code and technical debt
● Supports continuous training with automatic model updates
● Production-level reliability and scalability
● Reduced time to production from months to weeks
● Standardized components across different use cases</t>
  </si>
  <si>
    <t>● Requires TensorFlow ecosystem dependency
● Complex infrastructure setup needed
● Relies on Google-internal distributed systems</t>
  </si>
  <si>
    <t>Denis Baylor, Eric Breck, Heng-Tze Cheng, Noah Fiedel, Chuan Yu Foo, Zakaria Haque, Salem Haykal, Mustafa Ispir, Vihan Jain, Levent Koc, Chiu Yuen Koo, Lukasz Lew, Clemens Mewald, Akshay Naresh Modi, Neoklis Polyzotis, Sukriti Ramesh, Sudip Roy, Steven Euijong Whang, Martin Wicke, Jarek Wilkiewicz, Xin Zhang, Martin Zinkevich</t>
  </si>
  <si>
    <t>Proceedings of the 23rd ACM SIGKDD International Conference on Knowledge Discovery and Data Mining</t>
  </si>
  <si>
    <t>● Continuous training
● Model deployment
● Prediction
● Data validation
● Model validation</t>
  </si>
  <si>
    <t>● Deep learning
● Machine learning (various architectures)
● Warm-starting for transfer learning
● Distributed data processing (Apache Beam)</t>
  </si>
  <si>
    <t>● Training datasets
● Log streams
● Protocol buffers (tensorflow.Example format)</t>
  </si>
  <si>
    <t>● Trained models
● Predictions
● Validation reports</t>
  </si>
  <si>
    <t xml:space="preserve">
● AUC
● Cost-weighted error
● App install rate
● Model quality metrics</t>
  </si>
  <si>
    <t>● 2% increase in app installs (Google Play)
● 2-5x speedup in protocol buffer parsing
● 99.9-percentile latency: 75-150 ms (with optimizations)</t>
  </si>
  <si>
    <t>● Google Play store logs
● Training data from production systems</t>
  </si>
  <si>
    <t>● Structured (log data, tabular datasets)</t>
  </si>
  <si>
    <t>● Hundreds of billions of training examples
● ~1-100B unique values per sparse feature
● Thousands of queries per second (serving)</t>
  </si>
  <si>
    <t>● TensorFlow
● Apache Beam
● Distributed processing infrastructure</t>
  </si>
  <si>
    <t>● App recommendation systems
● Continuous production ML deployment
● Large-scale serving systems
● Click-through prediction</t>
  </si>
  <si>
    <t>Baylor, D., Breck, E., Cheng, H. T., Fiedel, N., Foo, C. Y., Haque, Z., Haykal, S., Ispir, M., Jain, V., Koc, L., Koo, C. Y., Lew, L., Mewald, C., Modi, A. N., Polyzotis, N., Ramesh, S., Roy, S., Whang, S. E., Wicke, M., Wilkiewicz, J., Zhang, X., &amp; Zinkevich, M. (2017). TFX: A TensorFlow-based production-scale machine learning platform. In Proceedings of the 23rd ACM SIGKDD International Conference on Knowledge Discovery and Data Mining (pp. 1387-1395). ACM. https://doi.org/10.1145/3097983.3098021</t>
  </si>
  <si>
    <t>TidyMass</t>
  </si>
  <si>
    <t>TidyMass an object-oriented reproducible analysis framework for LC-MS data</t>
  </si>
  <si>
    <t>TidyMass is an R-based framework for reproducible, traceable, and shareable analysis of LC-MS-based untargeted metabolomics data</t>
  </si>
  <si>
    <t>● Provides a uniform data structure for managing LC-MS data
● Cross-platform compatibility (Windows, Mac, Linux)
● Modular architecture enables flexibility and extensibility</t>
  </si>
  <si>
    <t>● Limited to R-based workflows, restricting use for non-R users
● Requires manual setup and understanding of R scripting</t>
  </si>
  <si>
    <t>Xiaotao Shen, Si Wu, Liang Liang, Chuchu Wang, Zhengjiang Zhu, Songjie Chen</t>
  </si>
  <si>
    <t>● Raw data processing
● Peak detection
● Peak grouping
● Data cleaning
● Metabolite annotation
● Statistical analysis</t>
  </si>
  <si>
    <t>● XCMS (peak picking and grouping)
● K-nearest neighbors (KNN)
● Support vector regression (SVR)
● Principal component analysis (PCA)
● Partial least squares (PLS)</t>
  </si>
  <si>
    <t>● .mzML files
● .mzXML files
● Peak tables (.csv, .xlsx)
● Sample metadata</t>
  </si>
  <si>
    <t>● mass_dataset class object
● .csv tables
● .xlsx reports
● HTML quality reports</t>
  </si>
  <si>
    <t>● Processing time
● Reproducibility
● Data quality metrics</t>
  </si>
  <si>
    <t>● Public metabolomics databases (e.g., MetaboAnalyst, GNPS, HMDB)</t>
  </si>
  <si>
    <t>● Structured (mzML, mzXML, CSV)</t>
  </si>
  <si>
    <t>● 56 .RAW files (case study)
● 74 metabolites identified (case study)
● Large-scale datasets supported</t>
  </si>
  <si>
    <t>https://www.tidymass.org/</t>
  </si>
  <si>
    <t xml:space="preserve">
● https://github.com/tidymass
● https://zenodo.org/record/6788322
● https://hub.docker.com/r/jaspershen/tidymass</t>
  </si>
  <si>
    <t>● R packages
● Docker container
● Cross-platform (Windows, Mac, Linux)</t>
  </si>
  <si>
    <t>● Metabolomics data analysis
● Biomarker discovery</t>
  </si>
  <si>
    <t>Shen, X., Yan, H., Wang, C., Gao, P., Johnson, C. H., &amp; Snyder, M. P. (2022). TidyMass an object-oriented reproducible analysis framework for LC–MS data. Nature Communications, 13(1), 4365.</t>
  </si>
  <si>
    <t>TMKit</t>
  </si>
  <si>
    <t>TMKit: a Python interface for computational analysis of transmembrane proteins</t>
  </si>
  <si>
    <t>TMKit is an open-source Python toolkit for analyzing transmembrane proteins, enabling database wrangling, feature engineering, and visualization of protein–protein interactions</t>
  </si>
  <si>
    <t>● Open-source and scalable Python interface
● seqNetRR enables fast feature assignment in linear time
● Comprehensive one-stop analysis covering multiple functions
● Modular design allows flexible function layering
● Visualization of PPI interfaces for biological interpretation</t>
  </si>
  <si>
    <t>● Limited to transmembrane proteins analysis
● Requires external dependencies (BioPandas, scikit-learn, PyMOL)
● Computationally intensive for very large protein datasets</t>
  </si>
  <si>
    <t>Jianfeng Sun, Arulsamy Kulandaisamy, Jinlong Ru, M. Michael Gromiha, Adam P. Cribbs</t>
  </si>
  <si>
    <t xml:space="preserve">
● Feature extraction
● Visualization
● Database wrangling
● Topological annotation
● Protein–protein interaction analysis</t>
  </si>
  <si>
    <t>● Graph construction (bipartite and unipartite graphs)
● Hash table-based feature assignment
● Multiple sequence alignment (HHblits, HAMMER)
● Topology prediction (TMHMM, PolyPhobius, TMDET)</t>
  </si>
  <si>
    <t>● FASTA format
● PDB files
● XML files
● Protein sequences</t>
  </si>
  <si>
    <t>● PyMOL visualization files
● Feature matrices
● Annotated protein data
● Topology annotations</t>
  </si>
  <si>
    <t>● Running time
● Computational speed
● Feature extraction accuracy</t>
  </si>
  <si>
    <t>● Hash method: 6.47s average
● 33-fold faster than NumPy for LocRRCs
● 11-fold faster than Pandas for LocRRCs
● Linear time complexity O(n) for feature assignment</t>
  </si>
  <si>
    <t>● Protein sequences
● Protein structures
● Topological annotations</t>
  </si>
  <si>
    <t>● Structured (FASTA, PDB)</t>
  </si>
  <si>
    <t xml:space="preserve">
● 120,000 residue pairs (from proteins of length 500)
● Multiple benchmark datasets (TRAIN, PREVIOUS, TEST)</t>
  </si>
  <si>
    <t>https://github.com/2003100127/tmkit</t>
  </si>
  <si>
    <t>● Python
● pip install (via GitHub)</t>
  </si>
  <si>
    <t xml:space="preserve">● Protein structure analysis
● Drug design </t>
  </si>
  <si>
    <t>Sun, J., Kulandaisamy, A., Ru, J., Gromiha, M. M., &amp; Cribbs, A. P. (2023). TMKit: a Python interface for computational analysis of transmembrane proteins. Briefings in Bioinformatics, bbad250. https://doi.org/10.1093/bib/bbad250</t>
  </si>
  <si>
    <t>TPP</t>
  </si>
  <si>
    <t>Trans-Proteomic Pipeline, a Standardised data processing pipeline for large-scale reproducible proteomics informatics</t>
  </si>
  <si>
    <t>TPP is a Standardised, open-source data processing suite for large-scale quantitative proteomics using mass spectrometry, supporting end-to-end statistical workflows</t>
  </si>
  <si>
    <t>● Cross-platform support (Windows, Linux, macOS)
● Instrument-vendor independent via open formats
● Statistical validation with confidence metrics
● Modular design allowing flexible workflows
● Widely adopted with broad user base</t>
  </si>
  <si>
    <t>● Does not support SRM workflows
● Requires expert knowledge for optimal configuration
● PeptideProphet modeling can fail with insufficient data
● Performance issues with very large datasets on single machines</t>
  </si>
  <si>
    <t>Eric W. Deutsch, Luis Mendoza, David Shteynberg, Joseph Slage, Zhi Sun, and Robert L. Moritz</t>
  </si>
  <si>
    <t>Proteomics Clin Appl</t>
  </si>
  <si>
    <t>● Peptide identification
● Protein inference
● Quantification (label-based and label-free)
● Post-translational modification localization
● Statistical validation</t>
  </si>
  <si>
    <t>● Sequence database searching (X!Tandem, Comet)
● Spectral library searching (SpectraST)
● Mixture modeling (PeptideProphet)
● Multi-level integrative analysis (iProphet)
● Protein inference algorithm (ProteinProphet)
● PTM localization modeling (PTMProphet)</t>
  </si>
  <si>
    <t>● .mzML files
● FASTA protein sequences
● Vendor formats (.RAW, proprietary)</t>
  </si>
  <si>
    <t>● .pepXML files
● .protXML files
● .mzIdentML files</t>
  </si>
  <si>
    <t>● Probability scores
● False Discovery Rate (FDR)
● Sensitivity
● Specificity</t>
  </si>
  <si>
    <t>● UniProtKB
● Gene Ontology
● PeptideAtlas
● PRIDE
● ProteomeXchange</t>
  </si>
  <si>
    <t>● Mass spectrometry data
● Peptide-spectrum matches
● Protein identifications
● Quantification data</t>
  </si>
  <si>
    <t>● Large-scale MS runs, cloud-ready</t>
  </si>
  <si>
    <t>Available at http://tools.proteomecenter.org/TPP</t>
  </si>
  <si>
    <t>● Command-line tools
● Web-based GUI (Petunia)
● Docker (AWS cloud deployment)</t>
  </si>
  <si>
    <t>● Proteomics (shotgun, DIA, SRM)</t>
  </si>
  <si>
    <t>Deutsch, E. W., Mendoza, L., Shteynberg, D., Slagel, J., Sun, Z., &amp; Moritz, R. L. (2015). Trans‐Proteomic Pipeline, a Standardised data processing pipeline for large‐scale reproducible proteomics informatics. PROTEOMICS–Clinical Applications, 9(7-8), 745-754.</t>
  </si>
  <si>
    <t>TrimNet</t>
  </si>
  <si>
    <t>TrimNet: learning molecular representation from triplet messages for biomedicine</t>
  </si>
  <si>
    <t>TrimNet is a graph-based deep learning model for learning molecular representations and improving molecular property prediction and compound–protein interaction (CPI) analysis</t>
  </si>
  <si>
    <t>● Novel triplet message mechanism
● Significant parameter reduction (30x fewer than Attentive FP)
● State-of-the-art performance across multiple datasets
● Interpretable attention weights
● Cross-platform compatibility</t>
  </si>
  <si>
    <t>● High computational cost for large molecular datasets
● Requires large labeled datasets for optimal performance</t>
  </si>
  <si>
    <t>Pengyong Li, Yuquan Li, Chang-Yu Hsieh, Shengyu Zhang, Xianggen Liu, Huanxiang Liu, Sen Song, Xiaojun Yao</t>
  </si>
  <si>
    <t xml:space="preserve">
● Prediction (quantum properties, bioactivity, physiology)
● Classification (drug discovery tasks)
● Compound-protein interaction identification</t>
  </si>
  <si>
    <t>● Graph Neural Networks (GNNs)
● Triplet attention mechanism
● Message passing neural network (MPNN)
● Gated recurrent unit (GRU)
● Set2Set readout
● Multi-head attention</t>
  </si>
  <si>
    <t>● Molecular graphs (atom features, bond features, adjacency matrix)
● SMILES strings
● Node features (atom properties)
● Edge features (bond properties)</t>
  </si>
  <si>
    <t>● Predicted molecular properties (numerical)
● Classification predictions (bioactivity, toxicity)
● CPI predictions (interaction probabilities)
● Attention weights (interpretability)</t>
  </si>
  <si>
    <t xml:space="preserve">
● Mean absolute error (MAE)
● Area under ROC curve (AUC)
● Precision
● Recall</t>
  </si>
  <si>
    <t>● QM9: MAE reduction &gt;80% on 6 tasks, &gt;17% on 5 tasks
● MUV: AUC 0.851
● BACE: AUC 0.878
● Tox21: AUC 0.860
● ClinTox: AUC 0.948
● Human CPI: AUC 0.974
● C.elegans CPI: AUC 0.987</t>
  </si>
  <si>
    <t xml:space="preserve">
● MoleculeNet
● QM9
● PubChem BioAssay
● DrugBank
● KEGG</t>
  </si>
  <si>
    <t>● Structured (SMILES, CSV, molecular graphs)</t>
  </si>
  <si>
    <t>● QM9: 134,000 molecules
● MUV: 93,127 compounds
● HIV: 41,127 compounds
● BACE: 1,513 compounds
● Tox21: 7,831 compounds
● ToxCast: 8,575 compounds</t>
  </si>
  <si>
    <t>● http://moleculenet.ai</t>
  </si>
  <si>
    <t>https://github.com/yvquanli/trimnet</t>
  </si>
  <si>
    <t>● Drug discovery
● Molecular property prediction</t>
  </si>
  <si>
    <t>Li, P., Li, Y., Hsieh, C. Y., Zhang, S., Liu, X., Liu, H., ... &amp; Yao, X. (2021). TrimNet: learning molecular representation from triplet messages for biomedicine. Briefings in Bioinformatics, 22(4).</t>
  </si>
  <si>
    <t>webchem</t>
  </si>
  <si>
    <t>webchem: An R Package to Retrieve Chemical Information from the Web</t>
  </si>
  <si>
    <t>Webchem is an open-source R package that automates the retrieval of chemical data from multiple web sources, enabling structured and reproducible chemical information retrieval</t>
  </si>
  <si>
    <t>● Integrates 14+ data sources
● Open-source with MIT license
● High test coverage (&gt;90%)
● Active community support (rOpenSci)
● Reduces manual data compilation time</t>
  </si>
  <si>
    <t xml:space="preserve">
● Dependent on external API availability
● R-specific implementation
● Requires authentication keys for some sources
● Processing time increases with dataset size</t>
  </si>
  <si>
    <t>Eduard Szöcs, Tamás Stirling, Eric R. Scott, Andreas Scharmüller, Ralf B. Schäfer</t>
  </si>
  <si>
    <t>Journal of Statistical Software</t>
  </si>
  <si>
    <t>● Information retrieval
● Data cleaning
● Chemical identifier conversion</t>
  </si>
  <si>
    <t>● API integration
● Web scraping
● Rule-based matching</t>
  </si>
  <si>
    <t xml:space="preserve">
● Chemical names
● CAS numbers
● SMILES
● InChI
● InChIKey</t>
  </si>
  <si>
    <t>● Chemical identifiers (CAS, SMILES, InChI, InChIKey)
● Chemical properties
● Toxicity data
● Regulatory information</t>
  </si>
  <si>
    <t>● Query success rate
● Data retrieval time
● Test coverage</t>
  </si>
  <si>
    <t>● Test coverage: &gt;90%
● Processing time: 0.3-2s timeout per request</t>
  </si>
  <si>
    <t>● PubChem
● ChemSpider
● ChEBI
● Wikidata</t>
  </si>
  <si>
    <t>● Structured (JSON, XML, CSV)</t>
  </si>
  <si>
    <t>● 34 substances (jagst dataset)
● 124 insecticides (lc50 dataset)
● 67 million structures (ChemSpider)
● 250 million substances (PubChem)</t>
  </si>
  <si>
    <t>● https://github.com/ropensci/webchem
● https://CRAN.R-project.org/package=webchem
● https://doi.org/10.5281/zenodo.3708981</t>
  </si>
  <si>
    <t xml:space="preserve">https://github.com/ropensci/webchem </t>
  </si>
  <si>
    <t>● R package
● Available via CRAN
● Continuous integration (Travis CI, AppVeyor)</t>
  </si>
  <si>
    <t xml:space="preserve">● Chemical database mining
● Environmental chemistry
● Drug discovery </t>
  </si>
  <si>
    <t>Szöcs, E., Stirling, T., Scott, E. R., Scharmüller, A., &amp; Schäfer, R. B. (2020). webchem: An R Package to Retrieve Chemical Information from the Web. Journal of Statistical Software, 93(13). https://doi.org/10.18637/jss.v093.i13</t>
  </si>
  <si>
    <t>WebSpecmine</t>
  </si>
  <si>
    <t>WebSpecmine: A Website for Metabolomics Data Analysis and Mining</t>
  </si>
  <si>
    <t>WebSpecmine is a web-based tool designed to support chemometric and metabolomic data analysis, allowing users to perform data preprocessing, statistical modeling, and machine learning tasks without programming expertise</t>
  </si>
  <si>
    <t xml:space="preserve">
● No programming skills required
● Supports multiple data formats (NMR, LC/GC-MS, spectroscopic)
● Flexible pre-processing pipelines
● User account system for data storage
● Open-source with installable version</t>
  </si>
  <si>
    <t>● Limited computational resources on web server
● File size limitations for non-account users (15 MB)
● Processing time varies by data type
● Lacks some advanced methods (biomarker analysis, time-series)</t>
  </si>
  <si>
    <t>Sara Cardoso, Telma Afonso, Marcelo Maraschin, Miguel Rocha</t>
  </si>
  <si>
    <t>Metabolites</t>
  </si>
  <si>
    <t>● Classification
● Clustering
● Feature selection
● Metabolite identification
● Pathway analysis</t>
  </si>
  <si>
    <t>● PCA
● K-means clustering
● Hierarchical clustering
● PLS
● SVM
● Neural Networks
● LDA
● t-tests
● ANOVA</t>
  </si>
  <si>
    <t>● .mzXML files (LC/GC-MS)
● .netCDF files (LC/GC-MS)
● .mzData files (LC/GC-MS)
● Varian format (NMR FID)
● Bruker format (NMR)
● .csv files
● .tsv files
● (J)DX files
● .spc files
● .xlsx files</t>
  </si>
  <si>
    <t>● Preprocessed datasets
● Statistical reports
● Classification results
● Feature importance tables
● Identified metabolites
● Pathway analysis results
● Interactive plots</t>
  </si>
  <si>
    <t>● Accuracy
● Confusion matrix
● Model performance
● Processing time</t>
  </si>
  <si>
    <t>● Processing time: 2s (30 KB concentration data) to 5 min (18 MB NMR data)</t>
  </si>
  <si>
    <t>● MetaboLights
● HMDB</t>
  </si>
  <si>
    <t>● Structured (CSV, mzML, mzXML, NMR spectra files)</t>
  </si>
  <si>
    <t>● 15 MB maximum (users without account)
● No limit (users with account)
● Example datasets: 30 KB to 18 MB</t>
  </si>
  <si>
    <t>● https://webspecmine.bio.di.uminho.pt/</t>
  </si>
  <si>
    <t>● https://gitlab.bio.di.uminho.pt/WebSpecmine/desktop_docker</t>
  </si>
  <si>
    <t>● R package (specmine)
● Shiny web framework
● Docker container
● MySQL database</t>
  </si>
  <si>
    <t xml:space="preserve">● Metabolomics research
● Biomarker discovery
● Chemometric modeling </t>
  </si>
  <si>
    <t>Cardoso, S., Afonso, T., Maraschin, M., &amp; Rocha, M. (2019). WebSpecmine: A Website for Metabolomics Data Analysis and Mining. Metabolites, 9(10), 237. https://doi.org/10.3390/metabo9100237</t>
  </si>
  <si>
    <t>Workflow4Metabolomics</t>
  </si>
  <si>
    <t>Workflow4Metabolomics: a collaborative research infrastructure for computational metabolomics</t>
  </si>
  <si>
    <t>Workflow4Metabolomics (W4M) is an open-source web-based platform for processing, analyzing, and annotating metabolomics data, built on the Galaxy environment</t>
  </si>
  <si>
    <t>● Fully open-source
● High-performance computing (600 cores, 100 TB)
● Module integration from multiple languages
● Workflow sharing capabilities
● Virtual machine for local deployment</t>
  </si>
  <si>
    <t>● Galaxy-specific environment dependency
● Requires understanding of workflow management
● NMR modules under development at time of publication</t>
  </si>
  <si>
    <t>Franck Giacomoni, Gildas Le Corguillé, Misharl Monsoor, Marion Landi, Pierre Pericard, Mélanie Pétéra, Christophe Duperier, Marie Tremblay-Franco, Jean-François Martin, Daniel Jacob, Sophie Goulitquer, Etienne A. Thévenot, Christophe Caron</t>
  </si>
  <si>
    <t>● Peak detection
● Retention time alignment
● Annotation
● Classification
● Statistical analysis</t>
  </si>
  <si>
    <t>● XCMS
● CAMERA
● Orthogonal Partial Least Squares (OPLS)
● Linear regression
● Polynomial regression
● Univariate tests (parametric and non-parametric)</t>
  </si>
  <si>
    <t>● .RAW files (Thermo Fisher)
● .mzXML files
● .mzML files
● LC-HRMS data
● Quality control samples</t>
  </si>
  <si>
    <t xml:space="preserve">
● Processed peak lists
● Statistical analysis results
● Annotated metabolites
● Interactive web-based reports
● Workflow histories</t>
  </si>
  <si>
    <t>● Processing time
● Cross-validation accuracy
● Variable importance in projection
● Model significance (permutation testing)</t>
  </si>
  <si>
    <t>● Processing time: 5 hours (184 raw files, 11 GB dataset)
● Used 1% of computational resources</t>
  </si>
  <si>
    <t>● Public metabolomics repositories (e.g., MetaboHUB, HMDB, GNPS)</t>
  </si>
  <si>
    <t>● 184 raw files
● 11 GB (LC-HRMS cohort dataset)</t>
  </si>
  <si>
    <t xml:space="preserve">
● http://workflow4metabolomics.org</t>
  </si>
  <si>
    <t>● Galaxy web-based platform
● High-performance computing infrastructure
● Virtual machine deployment</t>
  </si>
  <si>
    <t>Giacomoni, F., Le Corguillé, G., Monsoor, M., Landi, M., Pericard, P., Pétéra, M., Duperier, C., Tremblay-Franco, M., Martin, J. F., Jacob, D., Goulitquer, S., Thévenot, E. A., &amp; Caron, C. (2014). Workflow4Metabolomics: a collaborative research infrastructure for computational metabolomics. Bioinformatics, 31(9), 1493-1495.</t>
  </si>
  <si>
    <t>XCMS</t>
  </si>
  <si>
    <t>XCMS Online: A Web-Based Platform to Process Untargeted Metabolomic Data</t>
  </si>
  <si>
    <t>XCMS Online is a web-based platform designed to facilitate automated processing, retention time alignment, and statistical analysis of untargeted metabolomics data</t>
  </si>
  <si>
    <t>● No installation or programming skills required
● User-friendly graphical interface
● Complete workflow from raw data to statistical analysis
● Multiple file format support (netCDF, mzXML, mzData)
● Integrated METLIN database for metabolite identification
● Interactive visualization and downloadable results</t>
  </si>
  <si>
    <t>● Requires stable internet connection
● File upload can be time-consuming (seconds to hours)
● Processing time depends on dataset size (minutes to hours)
● Limited to web-based access
● Vendor DLL dependency for some formats</t>
  </si>
  <si>
    <t>Ralf Tautenhahn, Gary J. Patti, Duane Rinehart, Gary Siuzdak</t>
  </si>
  <si>
    <t>● Feature detection
● Retention time correction
● Peak alignment
● Statistical analysis
● Metabolite annotation</t>
  </si>
  <si>
    <t>● XCMS algorithms
● Nonlinear retention time correction
● Principal Component Analysis (PCA)
● Multidimensional Scaling (MDS)
● Welch t-test
● False Discovery Rate (FDR) estimation</t>
  </si>
  <si>
    <t>● .mzXML files
● .mzData files
● netCDF files
● Agilent .d folders</t>
  </si>
  <si>
    <t>● Feature tables (.TSV)
● Statistical reports
● Visualizations (TIC, PCA, MDS plots)
● .zip files for download</t>
  </si>
  <si>
    <t xml:space="preserve">
● p-value
● q-value
● Fold change
● R² (PCA model validation)
● Q² (PCA model validation)</t>
  </si>
  <si>
    <t>● METLIN</t>
  </si>
  <si>
    <t>● LC/MS metabolomics data
● Metabolite features
● Chromatograms
● Mass spectra</t>
  </si>
  <si>
    <t>● Tens of thousands of features per analysis</t>
  </si>
  <si>
    <t xml:space="preserve">https://xcmsonline.scripps.edu/landing_page.php?pgcontent=mainPage </t>
  </si>
  <si>
    <t>● Web-based application
● Java applet for file upload</t>
  </si>
  <si>
    <t>● Untargeted metabolomics
● Biomarker discovery
● Cancer research
● Plant biology
● Clinical metabolomics
● Forensics</t>
  </si>
  <si>
    <t>Tautenhahn, R., Patti, G. J., Rinehart, D., &amp; Siuzdak, G. (2012). XCMS Online: A Web-Based Platform to Process Untargeted Metabolomic Data. Analytical Chemistry, 84(11), 5035-5039.</t>
  </si>
  <si>
    <t>EDGE</t>
  </si>
  <si>
    <t>Enabling the democratization of the genomics revolution with a fully integrated web-based bioinformatics platform</t>
  </si>
  <si>
    <t>Web-based bioinformatics platform integrating multiple tools for comprehensive microbial genome and metagenome analysis</t>
  </si>
  <si>
    <t>● User-friendly web interface
● Modular workflows (6 independent modules)
● Real-time result visualization
● Multiple taxonomy profiling tools
● Whole genome SNP phylogenetics
● Open source (GitHub)</t>
  </si>
  <si>
    <t>● Limited eukaryotic genome support
● Requires moderate computational resources (12-64 cores, 64-512GB RAM)
● Internet connection recommended</t>
  </si>
  <si>
    <t>Po-E Li, Chien-Chi Lo, Joseph J. Anderson, Karen W. Davenport, Kimberly A. Bishop-Lilly, Yan Xu, Sanaa Ahmed, Shihai Feng, Vishwesh P. Mokashi, Patrick S.G. Chain</t>
  </si>
  <si>
    <t>● Quality control and trimming
● De novo genome assembly
● Genome annotation
● Reference-based variant calling
● Taxonomic classification
● Phylogenetic tree inference
● PCR primer design and validation</t>
  </si>
  <si>
    <t>● FaQCs (quality control)
● IDBA-UD, SPAdes (assembly)
● Prokka (annotation)
● BowTie2, BWA (read mapping)
● SAMtools (variant calling)
● GOTTCHA, Kraken, MetaPhlAn (taxonomic classification)
● PhaME, FastTree, RAxML (phylogenetics)</t>
  </si>
  <si>
    <t>● FASTQ files
● .fasta files (reference genomes)
● GenBank files
● .yaml files (configuration)</t>
  </si>
  <si>
    <t>● FASTQ files (cleaned reads)
● .fasta files (contigs)
● GenBank files (annotated genomes)
● GFF files (annotation)
● .csv files (taxonomic profiles, SNP tables)
● .pdf files (summary reports)
● Newick files (phylogenetic trees)</t>
  </si>
  <si>
    <t>● Assembly accuracy
● Taxonomic classification accuracy
● SNP detection rate
● Processing time</t>
  </si>
  <si>
    <t>● Processing time: minutes to hours (depending on dataset size)
● Assembly validation: &gt;77% reads mapped
● Taxonomic accuracy: high for bacterial isolates and metagenomes
● B. anthracis: 89 contigs, 5.5 Mb, 328× coverage
● Y. pestis: 329 contigs, 4.6 Mb, 306× coverage</t>
  </si>
  <si>
    <t>● NCBI RefSeq
● NCBI SRA
● EMBL ENA
● Human Microbiome Project</t>
  </si>
  <si>
    <t>● Sequencing reads (FASTQ)
● Reference genomes (FASTA, GenBank)
● Annotation files (GFF)
● Phylogenetic data (Newick trees)</t>
  </si>
  <si>
    <t>● B. anthracis: 28.6 million reads
● Y. pestis: 15.0 million reads
● HMP mock: 7.93 million reads
● Ebola sample: 0.930 million reads
● E. coli outbreak: 273 million reads
● Nasal swab: 2.52 million reads</t>
  </si>
  <si>
    <t>● https://github.com/LANL-Bioinformatics/edge
● https://bioedge.lanl.gov/
● NCBI SRA accessions (SRR1993644, SRR1993645, SRR172903, SRR1553609, SRR2164314, SRP062772)</t>
  </si>
  <si>
    <t>https://github.com/LANL-Bioinformatics/edge</t>
  </si>
  <si>
    <t>● Web-based GUI (HTML5, JavaScript, JQuery Mobile)
● Perl CGI (Apache backend)
● Python scripts
● Docker container
● VMware OVF image</t>
  </si>
  <si>
    <t>● Bacterial genome analysis
● Viral genome analysis
● Metagenome profiling
● Clinical diagnostics
● Outbreak investigation
● Pathogen identification</t>
  </si>
  <si>
    <t>Li, P. E., Lo, C. C., Anderson, J. J., Davenport, K. W., Bishop-Lilly, K. A., Xu, Y., Ahmed, S., Feng, S., Mokashi, V. P., &amp; Chain, P. S. G. (2017). Enabling the democratization of the genomics revolution with a fully integrated web-based bioinformatics platform. Nucleic Acids Research, 45(1), 67-80. https://doi.org/10.1093/nar/gkw1027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</si>
</sst>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sz val="11"/>
      <color theme="1"/>
      <name val="Calibri"/>
      <family val="2"/>
      <scheme val="minor"/>
    </font>
    <font>
      <sz val="10"/>
      <color rgb="FF000000"/>
      <name val="Calibri"/>
      <family val="2"/>
      <scheme val="minor"/>
    </font>
    <font>
      <b/>
      <sz val="14"/>
      <color theme="1"/>
      <name val="Times New Roman"/>
      <family val="1"/>
    </font>
    <font>
      <b/>
      <sz val="12"/>
      <color theme="1"/>
      <name val="Times New Roman"/>
      <family val="1"/>
    </font>
    <font>
      <b/>
      <sz val="14"/>
      <color rgb="FF000000"/>
      <name val="Times New Roman"/>
      <family val="1"/>
    </font>
    <font>
      <b/>
      <sz val="14"/>
      <color rgb="FFFFFFFF"/>
      <name val="Times New Roman"/>
      <family val="1"/>
    </font>
    <font>
      <b/>
      <sz val="12"/>
      <color theme="1"/>
      <name val="Calibri"/>
      <family val="2"/>
      <scheme val="major"/>
    </font>
    <font>
      <sz val="12"/>
      <color theme="1"/>
      <name val="Calibri"/>
      <family val="2"/>
      <scheme val="major"/>
    </font>
    <font>
      <sz val="12"/>
      <color rgb="FF000000"/>
      <name val="Times New Roman"/>
      <family val="1"/>
    </font>
    <font>
      <sz val="14"/>
      <color rgb="FF000000"/>
      <name val="Times New Roman"/>
      <family val="1"/>
    </font>
    <font>
      <sz val="12"/>
      <name val="Calibri"/>
      <family val="2"/>
      <scheme val="major"/>
    </font>
    <font>
      <sz val="12"/>
      <color theme="10"/>
      <name val="Calibri"/>
      <family val="2"/>
      <scheme val="major"/>
    </font>
    <font>
      <i/>
      <sz val="12"/>
      <color rgb="FF000000"/>
      <name val="Calibri"/>
      <family val="2"/>
      <scheme val="major"/>
    </font>
    <font>
      <sz val="12"/>
      <color rgb="FF000000"/>
      <name val="Calibri"/>
      <family val="2"/>
      <scheme val="major"/>
    </font>
    <font>
      <b/>
      <sz val="12"/>
      <color rgb="FF000000"/>
      <name val="Times New Roman"/>
      <family val="1"/>
    </font>
    <font>
      <u/>
      <sz val="12"/>
      <color theme="10"/>
      <name val="Calibri"/>
      <family val="2"/>
      <scheme val="major"/>
    </font>
    <font>
      <sz val="12"/>
      <name val="Times New Roman"/>
      <family val="1"/>
    </font>
    <font>
      <i/>
      <sz val="12"/>
      <color rgb="FF222222"/>
      <name val="Calibri"/>
      <family val="2"/>
      <scheme val="major"/>
    </font>
    <font>
      <sz val="12"/>
      <color rgb="FF222222"/>
      <name val="Calibri"/>
      <family val="2"/>
      <scheme val="major"/>
    </font>
    <font>
      <b/>
      <sz val="12"/>
      <color rgb="FFFF0000"/>
      <name val="Times New Roman"/>
      <family val="1"/>
    </font>
  </fonts>
  <fills count="10">
    <fill>
      <patternFill patternType="none"/>
    </fill>
    <fill>
      <patternFill patternType="gray125"/>
    </fill>
    <fill>
      <patternFill patternType="solid">
        <fgColor theme="0" tint="-0.34998626667073579"/>
        <bgColor indexed="64"/>
      </patternFill>
    </fill>
    <fill>
      <patternFill patternType="solid">
        <fgColor rgb="FF00FF00"/>
        <bgColor rgb="FF00FF00"/>
      </patternFill>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
      <patternFill patternType="solid">
        <fgColor rgb="FF9900FF"/>
        <bgColor rgb="FF9900FF"/>
      </patternFill>
    </fill>
    <fill>
      <patternFill patternType="solid">
        <fgColor rgb="FF0000FF"/>
        <bgColor rgb="FF0000FF"/>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xf numFmtId="0" fontId="1" fillId="0" borderId="0"/>
  </cellStyleXfs>
  <cellXfs count="29">
    <xf numFmtId="0" fontId="0" fillId="0" borderId="0" xfId="0"/>
    <xf numFmtId="0" fontId="3" fillId="2" borderId="1" xfId="1" applyFont="1" applyFill="1" applyBorder="1" applyAlignment="1">
      <alignment horizontal="center" vertical="center" wrapText="1"/>
    </xf>
    <xf numFmtId="0" fontId="4" fillId="0" borderId="1" xfId="1" applyFont="1" applyBorder="1" applyAlignment="1">
      <alignment horizontal="center" vertical="center"/>
    </xf>
    <xf numFmtId="0" fontId="4" fillId="0" borderId="1" xfId="1" applyFont="1" applyBorder="1" applyAlignment="1">
      <alignment horizontal="center" vertical="center" wrapText="1"/>
    </xf>
    <xf numFmtId="0" fontId="3" fillId="3" borderId="1" xfId="1" applyFont="1" applyFill="1" applyBorder="1" applyAlignment="1">
      <alignment horizontal="center" vertical="center" wrapText="1"/>
    </xf>
    <xf numFmtId="0" fontId="3" fillId="4" borderId="1" xfId="1" applyFont="1" applyFill="1" applyBorder="1" applyAlignment="1">
      <alignment horizontal="center" vertical="center" wrapText="1"/>
    </xf>
    <xf numFmtId="164" fontId="3" fillId="4" borderId="1" xfId="1" applyNumberFormat="1" applyFont="1" applyFill="1" applyBorder="1" applyAlignment="1">
      <alignment horizontal="center" vertical="center" wrapText="1"/>
    </xf>
    <xf numFmtId="0" fontId="3" fillId="5" borderId="1" xfId="1" applyFont="1" applyFill="1" applyBorder="1" applyAlignment="1">
      <alignment horizontal="center" vertical="center" wrapText="1"/>
    </xf>
    <xf numFmtId="0" fontId="5" fillId="6" borderId="1" xfId="1" applyFont="1" applyFill="1" applyBorder="1" applyAlignment="1">
      <alignment horizontal="center" vertical="center" wrapText="1"/>
    </xf>
    <xf numFmtId="0" fontId="3" fillId="6" borderId="1" xfId="1" applyFont="1" applyFill="1" applyBorder="1" applyAlignment="1">
      <alignment horizontal="center" vertical="center" wrapText="1"/>
    </xf>
    <xf numFmtId="0" fontId="6" fillId="7" borderId="1" xfId="1" applyFont="1" applyFill="1" applyBorder="1" applyAlignment="1">
      <alignment horizontal="center" vertical="center" wrapText="1"/>
    </xf>
    <xf numFmtId="0" fontId="6" fillId="8" borderId="1" xfId="1" applyFont="1" applyFill="1" applyBorder="1" applyAlignment="1">
      <alignment horizontal="center" vertical="center" wrapText="1"/>
    </xf>
    <xf numFmtId="0" fontId="3" fillId="9"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5" fillId="2" borderId="1" xfId="1" applyFont="1" applyFill="1" applyBorder="1" applyAlignment="1">
      <alignment horizontal="center" vertical="center" wrapText="1"/>
    </xf>
    <xf numFmtId="0" fontId="5" fillId="0" borderId="0" xfId="1" applyFont="1" applyAlignment="1">
      <alignment horizontal="center" vertical="center" wrapText="1"/>
    </xf>
    <xf numFmtId="0" fontId="7" fillId="2" borderId="1" xfId="2" applyFont="1" applyFill="1" applyBorder="1" applyAlignment="1">
      <alignment horizontal="center" vertical="center" wrapText="1"/>
    </xf>
    <xf numFmtId="0" fontId="8" fillId="0" borderId="1" xfId="2" applyFont="1" applyBorder="1" applyAlignment="1">
      <alignment horizontal="center" vertical="center" wrapText="1"/>
    </xf>
    <xf numFmtId="0" fontId="9" fillId="0" borderId="0" xfId="1" applyFont="1" applyAlignment="1">
      <alignment horizontal="center" vertical="center" wrapText="1"/>
    </xf>
    <xf numFmtId="0" fontId="10" fillId="0" borderId="0" xfId="1" applyFont="1" applyAlignment="1">
      <alignment horizontal="center" vertical="center" wrapText="1"/>
    </xf>
    <xf numFmtId="0" fontId="15" fillId="0" borderId="0" xfId="1" applyFont="1" applyAlignment="1">
      <alignment horizontal="center" vertical="center" wrapText="1"/>
    </xf>
    <xf numFmtId="0" fontId="7" fillId="0" borderId="1" xfId="2" applyFont="1" applyBorder="1" applyAlignment="1">
      <alignment horizontal="center" vertical="center" wrapText="1"/>
    </xf>
    <xf numFmtId="0" fontId="17" fillId="0" borderId="0" xfId="1" applyFont="1" applyAlignment="1">
      <alignment horizontal="center" vertical="center" wrapText="1"/>
    </xf>
    <xf numFmtId="0" fontId="8" fillId="9" borderId="1" xfId="2" applyFont="1" applyFill="1" applyBorder="1" applyAlignment="1">
      <alignment horizontal="center" vertical="center" wrapText="1"/>
    </xf>
    <xf numFmtId="0" fontId="20" fillId="0" borderId="0" xfId="1" applyFont="1" applyAlignment="1">
      <alignment horizontal="center" vertical="center" wrapText="1"/>
    </xf>
    <xf numFmtId="0" fontId="15" fillId="0" borderId="0" xfId="1" applyFont="1" applyAlignment="1">
      <alignment horizontal="center" vertical="center"/>
    </xf>
    <xf numFmtId="0" fontId="9" fillId="0" borderId="0" xfId="1" applyFont="1" applyAlignment="1">
      <alignment horizontal="left" vertical="center" wrapText="1"/>
    </xf>
    <xf numFmtId="164" fontId="9" fillId="0" borderId="0" xfId="1" applyNumberFormat="1" applyFont="1" applyAlignment="1">
      <alignment horizontal="left" vertical="center" wrapText="1"/>
    </xf>
    <xf numFmtId="0" fontId="3" fillId="0" borderId="0" xfId="1" applyFont="1" applyAlignment="1">
      <alignment horizontal="center" vertical="center" wrapText="1"/>
    </xf>
  </cellXfs>
  <cellStyles count="3">
    <cellStyle name="Normal" xfId="0" builtinId="0"/>
    <cellStyle name="Normal 2" xfId="1" xr:uid="{4F2F8688-EE1D-4FF1-BA24-A37BA7E0EFA5}"/>
    <cellStyle name="Normal 5 2" xfId="2" xr:uid="{8C00D4B7-51EF-422E-B711-EBC3B53BA949}"/>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ubs.acs.org/doi/10.1021/acs.analchem.4c02650" TargetMode="External"/><Relationship Id="rId21" Type="http://schemas.openxmlformats.org/officeDocument/2006/relationships/hyperlink" Target="https://cran.r-project.org/web/packages/RGCxGC/index.html" TargetMode="External"/><Relationship Id="rId42" Type="http://schemas.openxmlformats.org/officeDocument/2006/relationships/hyperlink" Target="https://www.biorxiv.org/content/10.1101/2023.04.04.535534v3" TargetMode="External"/><Relationship Id="rId47" Type="http://schemas.openxmlformats.org/officeDocument/2006/relationships/hyperlink" Target="https://minedatabase.mcs.anl.gov/" TargetMode="External"/><Relationship Id="rId63" Type="http://schemas.openxmlformats.org/officeDocument/2006/relationships/hyperlink" Target="https://github.com/ODonnell-Lipidomics/LipidFinder" TargetMode="External"/><Relationship Id="rId68" Type="http://schemas.openxmlformats.org/officeDocument/2006/relationships/hyperlink" Target="https://gnps.ucsd.edu/ProteoSAFe/libraries.jsp" TargetMode="External"/><Relationship Id="rId84" Type="http://schemas.openxmlformats.org/officeDocument/2006/relationships/hyperlink" Target="https://github.com/rmallol/clomet" TargetMode="External"/><Relationship Id="rId89" Type="http://schemas.openxmlformats.org/officeDocument/2006/relationships/hyperlink" Target="https://doi.org/10.17605/OSF.IO/PKD6B18" TargetMode="External"/><Relationship Id="rId112" Type="http://schemas.openxmlformats.org/officeDocument/2006/relationships/hyperlink" Target="https://doi.org/10.1093/bib/bbac022" TargetMode="External"/><Relationship Id="rId16" Type="http://schemas.openxmlformats.org/officeDocument/2006/relationships/hyperlink" Target="https://pubs.acs.org/doi/suppl/10.1021/acs.analchem.3c04988/suppl_file/ac3c04988_si_001.pdf" TargetMode="External"/><Relationship Id="rId107" Type="http://schemas.openxmlformats.org/officeDocument/2006/relationships/hyperlink" Target="https://doi.org/10.1371/journal.pone.0160716" TargetMode="External"/><Relationship Id="rId11" Type="http://schemas.openxmlformats.org/officeDocument/2006/relationships/hyperlink" Target="https://www.ebi.ac.uk/pride/archive/projects/PXD045958" TargetMode="External"/><Relationship Id="rId32" Type="http://schemas.openxmlformats.org/officeDocument/2006/relationships/hyperlink" Target="https://github.com/peakforest" TargetMode="External"/><Relationship Id="rId37" Type="http://schemas.openxmlformats.org/officeDocument/2006/relationships/hyperlink" Target="https://github.com/mzmine/mzmine" TargetMode="External"/><Relationship Id="rId53" Type="http://schemas.openxmlformats.org/officeDocument/2006/relationships/hyperlink" Target="https://www.ebi.ac.uk/metabolights/" TargetMode="External"/><Relationship Id="rId58" Type="http://schemas.openxmlformats.org/officeDocument/2006/relationships/hyperlink" Target="https://github.com/Tarskin/MassyTools" TargetMode="External"/><Relationship Id="rId74" Type="http://schemas.openxmlformats.org/officeDocument/2006/relationships/hyperlink" Target="https://app.flow.bio/projects/836162021371089781/" TargetMode="External"/><Relationship Id="rId79" Type="http://schemas.openxmlformats.org/officeDocument/2006/relationships/hyperlink" Target="https://github.com/XiaqiongFan/DeepResolution" TargetMode="External"/><Relationship Id="rId102" Type="http://schemas.openxmlformats.org/officeDocument/2006/relationships/hyperlink" Target="https://doi.org/10.1021/jasms.4c00146" TargetMode="External"/><Relationship Id="rId5" Type="http://schemas.openxmlformats.org/officeDocument/2006/relationships/hyperlink" Target="https://github.com/yvquanli/trimnet" TargetMode="External"/><Relationship Id="rId90" Type="http://schemas.openxmlformats.org/officeDocument/2006/relationships/hyperlink" Target="https://lipidmaps.org/biopan/" TargetMode="External"/><Relationship Id="rId95" Type="http://schemas.openxmlformats.org/officeDocument/2006/relationships/hyperlink" Target="https://doi.org/10.6084/m9.figshare.12334577.v1" TargetMode="External"/><Relationship Id="rId22" Type="http://schemas.openxmlformats.org/officeDocument/2006/relationships/hyperlink" Target="https://www.sciencedirect.com/science/article/pii/S0026265X20304914?via%3Dihub" TargetMode="External"/><Relationship Id="rId27" Type="http://schemas.openxmlformats.org/officeDocument/2006/relationships/hyperlink" Target="https://github.com/nutrimetabolomics/POMAShiny" TargetMode="External"/><Relationship Id="rId43" Type="http://schemas.openxmlformats.org/officeDocument/2006/relationships/hyperlink" Target="https://github.com/websandip/mmip" TargetMode="External"/><Relationship Id="rId48" Type="http://schemas.openxmlformats.org/officeDocument/2006/relationships/hyperlink" Target="https://github.com/ipb-halle/MetFragRelaunched" TargetMode="External"/><Relationship Id="rId64" Type="http://schemas.openxmlformats.org/officeDocument/2006/relationships/hyperlink" Target="https://academic.oup.com/bioinformatics/article/37/10/1478/5919072?login=true" TargetMode="External"/><Relationship Id="rId69" Type="http://schemas.openxmlformats.org/officeDocument/2006/relationships/hyperlink" Target="https://gnps-explorer.ucsd.edu/?dataset_accession=MSV000086206&amp;metadata_source=DEFAULT&amp;metadata_option=f.MSV000086206%2Fmetadata%2Fmetadata.txt" TargetMode="External"/><Relationship Id="rId113" Type="http://schemas.openxmlformats.org/officeDocument/2006/relationships/printerSettings" Target="../printerSettings/printerSettings1.bin"/><Relationship Id="rId80" Type="http://schemas.openxmlformats.org/officeDocument/2006/relationships/hyperlink" Target="https://github.com/XiaqiongFan/DeepResolution" TargetMode="External"/><Relationship Id="rId85" Type="http://schemas.openxmlformats.org/officeDocument/2006/relationships/hyperlink" Target="https://github.com/tsudalab/ChemTS" TargetMode="External"/><Relationship Id="rId12" Type="http://schemas.openxmlformats.org/officeDocument/2006/relationships/hyperlink" Target="https://simtk.org/home/smart" TargetMode="External"/><Relationship Id="rId17" Type="http://schemas.openxmlformats.org/officeDocument/2006/relationships/hyperlink" Target="https://github.com/gtadeus/sdmixer2" TargetMode="External"/><Relationship Id="rId33" Type="http://schemas.openxmlformats.org/officeDocument/2006/relationships/hyperlink" Target="https://bigomics.ch/omicsplayground" TargetMode="External"/><Relationship Id="rId38" Type="http://schemas.openxmlformats.org/officeDocument/2006/relationships/hyperlink" Target="https://github.com/okdll/mpwR" TargetMode="External"/><Relationship Id="rId59" Type="http://schemas.openxmlformats.org/officeDocument/2006/relationships/hyperlink" Target="https://labstructbioinf.github.io/localpdb/" TargetMode="External"/><Relationship Id="rId103" Type="http://schemas.openxmlformats.org/officeDocument/2006/relationships/hyperlink" Target="https://doi.org/10.1093/nar/gkv380" TargetMode="External"/><Relationship Id="rId108" Type="http://schemas.openxmlformats.org/officeDocument/2006/relationships/hyperlink" Target="https://doi.org/10.1038/s41592-020-0933-6" TargetMode="External"/><Relationship Id="rId54" Type="http://schemas.openxmlformats.org/officeDocument/2006/relationships/hyperlink" Target="https://github.com/MetaboKit" TargetMode="External"/><Relationship Id="rId70" Type="http://schemas.openxmlformats.org/officeDocument/2006/relationships/hyperlink" Target="https://github.com/tritemio/FRETBursts" TargetMode="External"/><Relationship Id="rId75" Type="http://schemas.openxmlformats.org/officeDocument/2006/relationships/hyperlink" Target="https://github.com/ElucidataInc/ElMaven" TargetMode="External"/><Relationship Id="rId91" Type="http://schemas.openxmlformats.org/officeDocument/2006/relationships/hyperlink" Target="https://rxnkin.usc.es/index.php/AutoMeKin" TargetMode="External"/><Relationship Id="rId96" Type="http://schemas.openxmlformats.org/officeDocument/2006/relationships/hyperlink" Target="https://bigomics.ch/omicsplayground" TargetMode="External"/><Relationship Id="rId1" Type="http://schemas.openxmlformats.org/officeDocument/2006/relationships/hyperlink" Target="https://xwcb.info/" TargetMode="External"/><Relationship Id="rId6" Type="http://schemas.openxmlformats.org/officeDocument/2006/relationships/hyperlink" Target="https://www.tidymass.org/" TargetMode="External"/><Relationship Id="rId15" Type="http://schemas.openxmlformats.org/officeDocument/2006/relationships/hyperlink" Target="https://pubs.acs.org/doi/suppl/10.1021/acs.analchem.0c02137/suppl_file/ac0c02137_si_001.pdf" TargetMode="External"/><Relationship Id="rId23" Type="http://schemas.openxmlformats.org/officeDocument/2006/relationships/hyperlink" Target="https://link.springer.com/article/10.1007/s11306-018-1319-y" TargetMode="External"/><Relationship Id="rId28" Type="http://schemas.openxmlformats.org/officeDocument/2006/relationships/hyperlink" Target="https://pypi.org/project/pyopenms/" TargetMode="External"/><Relationship Id="rId36" Type="http://schemas.openxmlformats.org/officeDocument/2006/relationships/hyperlink" Target="https://github.com/ISA-tools" TargetMode="External"/><Relationship Id="rId49" Type="http://schemas.openxmlformats.org/officeDocument/2006/relationships/hyperlink" Target="https://mona.fiehnlab.ucdavis.edu/" TargetMode="External"/><Relationship Id="rId57" Type="http://schemas.openxmlformats.org/officeDocument/2006/relationships/hyperlink" Target="https://csbg.cnb.csic.es/mbrole3/" TargetMode="External"/><Relationship Id="rId106" Type="http://schemas.openxmlformats.org/officeDocument/2006/relationships/hyperlink" Target="https://doi.org/10.12688/f1000research.15830.2" TargetMode="External"/><Relationship Id="rId10" Type="http://schemas.openxmlformats.org/officeDocument/2006/relationships/hyperlink" Target="https://github.com/bartongroup/Mouse-C.albicans-Peptide-Overlaps" TargetMode="External"/><Relationship Id="rId31" Type="http://schemas.openxmlformats.org/officeDocument/2006/relationships/hyperlink" Target="https://openms.de/" TargetMode="External"/><Relationship Id="rId44" Type="http://schemas.openxmlformats.org/officeDocument/2006/relationships/hyperlink" Target="https://cran.r-project.org/web/packages/mixOmics/index.html" TargetMode="External"/><Relationship Id="rId52" Type="http://schemas.openxmlformats.org/officeDocument/2006/relationships/hyperlink" Target="https://github.com/rmylonas/MetaDB" TargetMode="External"/><Relationship Id="rId60" Type="http://schemas.openxmlformats.org/officeDocument/2006/relationships/hyperlink" Target="https://github.com/labstructbioinf/localpdb" TargetMode="External"/><Relationship Id="rId65" Type="http://schemas.openxmlformats.org/officeDocument/2006/relationships/hyperlink" Target="https://hyperlipea.org/home" TargetMode="External"/><Relationship Id="rId73" Type="http://schemas.openxmlformats.org/officeDocument/2006/relationships/hyperlink" Target="https://github.com/goodwright/flowbio" TargetMode="External"/><Relationship Id="rId78" Type="http://schemas.openxmlformats.org/officeDocument/2006/relationships/hyperlink" Target="https://github.com/DrugOOD/drugood.github.io" TargetMode="External"/><Relationship Id="rId81" Type="http://schemas.openxmlformats.org/officeDocument/2006/relationships/hyperlink" Target="https://github.com/deepPseudoMSI-project/deepPseudoMSI" TargetMode="External"/><Relationship Id="rId86" Type="http://schemas.openxmlformats.org/officeDocument/2006/relationships/hyperlink" Target="http://www1.imperial.ac.uk/medicine/people/t.ebbels/&#8203;" TargetMode="External"/><Relationship Id="rId94" Type="http://schemas.openxmlformats.org/officeDocument/2006/relationships/hyperlink" Target="https://github.com/MolecularAI/aizynthfinder" TargetMode="External"/><Relationship Id="rId99" Type="http://schemas.openxmlformats.org/officeDocument/2006/relationships/hyperlink" Target="https://doi.org/10.3390/metabo9100237" TargetMode="External"/><Relationship Id="rId101" Type="http://schemas.openxmlformats.org/officeDocument/2006/relationships/hyperlink" Target="https://doi.org/10.1093/bib/bbad250" TargetMode="External"/><Relationship Id="rId4" Type="http://schemas.openxmlformats.org/officeDocument/2006/relationships/hyperlink" Target="https://github.com/ropensci/webchem" TargetMode="External"/><Relationship Id="rId9" Type="http://schemas.openxmlformats.org/officeDocument/2006/relationships/hyperlink" Target="https://github.com/volkamerlab/TeachOpenCADD" TargetMode="External"/><Relationship Id="rId13" Type="http://schemas.openxmlformats.org/officeDocument/2006/relationships/hyperlink" Target="http://www.swisssimilarity.ch/" TargetMode="External"/><Relationship Id="rId18" Type="http://schemas.openxmlformats.org/officeDocument/2006/relationships/hyperlink" Target="https://sourceforge.net/projects/sdmixer/" TargetMode="External"/><Relationship Id="rId39" Type="http://schemas.openxmlformats.org/officeDocument/2006/relationships/hyperlink" Target="https://github.com/BalunasLab/mpact" TargetMode="External"/><Relationship Id="rId109" Type="http://schemas.openxmlformats.org/officeDocument/2006/relationships/hyperlink" Target="https://doi.org/10.1007/978-1-4939-9236-2_19" TargetMode="External"/><Relationship Id="rId34" Type="http://schemas.openxmlformats.org/officeDocument/2006/relationships/hyperlink" Target="https://nmrshiftdb.nmr.uni-koeln.de/" TargetMode="External"/><Relationship Id="rId50" Type="http://schemas.openxmlformats.org/officeDocument/2006/relationships/hyperlink" Target="https://metax.genomics.cn/" TargetMode="External"/><Relationship Id="rId55" Type="http://schemas.openxmlformats.org/officeDocument/2006/relationships/hyperlink" Target="https://pubs.rsc.org/en/content/articlelanding/2020/mo/d0mo00030b" TargetMode="External"/><Relationship Id="rId76" Type="http://schemas.openxmlformats.org/officeDocument/2006/relationships/hyperlink" Target="https://github.com/LANL-Bioinformatics/edge" TargetMode="External"/><Relationship Id="rId97" Type="http://schemas.openxmlformats.org/officeDocument/2006/relationships/hyperlink" Target="https://pubs.acs.org/doi/10.1021/jasms.4c00146" TargetMode="External"/><Relationship Id="rId104" Type="http://schemas.openxmlformats.org/officeDocument/2006/relationships/hyperlink" Target="https://doi.org/10.1093/bioinformatics/bty528" TargetMode="External"/><Relationship Id="rId7" Type="http://schemas.openxmlformats.org/officeDocument/2006/relationships/hyperlink" Target="https://github.com/2003100127/tmkit" TargetMode="External"/><Relationship Id="rId71" Type="http://schemas.openxmlformats.org/officeDocument/2006/relationships/hyperlink" Target="https://toolshed.g2.bx.psu.edu/repository?repository_id=47c482a15b9fe81f" TargetMode="External"/><Relationship Id="rId92" Type="http://schemas.openxmlformats.org/officeDocument/2006/relationships/hyperlink" Target="https://rxnkin.usc.es/index.php/AutoMeKin" TargetMode="External"/><Relationship Id="rId2" Type="http://schemas.openxmlformats.org/officeDocument/2006/relationships/hyperlink" Target="https://xcmsonline.scripps.edu/landing_page.php?pgcontent=mainPage" TargetMode="External"/><Relationship Id="rId29" Type="http://schemas.openxmlformats.org/officeDocument/2006/relationships/hyperlink" Target="https://pypi.org/project/pyopenms/" TargetMode="External"/><Relationship Id="rId24" Type="http://schemas.openxmlformats.org/officeDocument/2006/relationships/hyperlink" Target="https://github.com/danielcanueto/rDolphin" TargetMode="External"/><Relationship Id="rId40" Type="http://schemas.openxmlformats.org/officeDocument/2006/relationships/hyperlink" Target="https://pubs.acs.org/doi/suppl/10.1021/acs.analchem.2c04632/suppl_file/ac2c04632_si_001.pdf" TargetMode="External"/><Relationship Id="rId45" Type="http://schemas.openxmlformats.org/officeDocument/2006/relationships/hyperlink" Target="https://mixomics.org/" TargetMode="External"/><Relationship Id="rId66" Type="http://schemas.openxmlformats.org/officeDocument/2006/relationships/hyperlink" Target="https://github.com/francescodc87/ipaPy2" TargetMode="External"/><Relationship Id="rId87" Type="http://schemas.openxmlformats.org/officeDocument/2006/relationships/hyperlink" Target="https://github.com/MaayanLab/biojupies)&amp;" TargetMode="External"/><Relationship Id="rId110" Type="http://schemas.openxmlformats.org/officeDocument/2006/relationships/hyperlink" Target="https://doi.org/10.1093/nar/gkw1027" TargetMode="External"/><Relationship Id="rId61" Type="http://schemas.openxmlformats.org/officeDocument/2006/relationships/hyperlink" Target="https://www.lipidmaps.org/" TargetMode="External"/><Relationship Id="rId82" Type="http://schemas.openxmlformats.org/officeDocument/2006/relationships/hyperlink" Target="https://github.com/yjdeng9/DeepMSProfiler" TargetMode="External"/><Relationship Id="rId19" Type="http://schemas.openxmlformats.org/officeDocument/2006/relationships/hyperlink" Target="https://scikit-learn.org/stable/" TargetMode="External"/><Relationship Id="rId14" Type="http://schemas.openxmlformats.org/officeDocument/2006/relationships/hyperlink" Target="https://github.com/mcleanlab" TargetMode="External"/><Relationship Id="rId30" Type="http://schemas.openxmlformats.org/officeDocument/2006/relationships/hyperlink" Target="https://github.com/OpenMS" TargetMode="External"/><Relationship Id="rId35" Type="http://schemas.openxmlformats.org/officeDocument/2006/relationships/hyperlink" Target="https://2isa.readthedocs.io/en/latest/" TargetMode="External"/><Relationship Id="rId56" Type="http://schemas.openxmlformats.org/officeDocument/2006/relationships/hyperlink" Target="https://www.metaboanalyst.ca/" TargetMode="External"/><Relationship Id="rId77" Type="http://schemas.openxmlformats.org/officeDocument/2006/relationships/hyperlink" Target="https://github.com/DrugOOD/drugood.github.io" TargetMode="External"/><Relationship Id="rId100" Type="http://schemas.openxmlformats.org/officeDocument/2006/relationships/hyperlink" Target="https://doi.org/10.18637/jss.v093.i13" TargetMode="External"/><Relationship Id="rId105" Type="http://schemas.openxmlformats.org/officeDocument/2006/relationships/hyperlink" Target="https://doi.org/10.1093/nar/gkad389" TargetMode="External"/><Relationship Id="rId8" Type="http://schemas.openxmlformats.org/officeDocument/2006/relationships/hyperlink" Target="https://github.com/volkamerlab/TeachOpenCADD" TargetMode="External"/><Relationship Id="rId51" Type="http://schemas.openxmlformats.org/officeDocument/2006/relationships/hyperlink" Target="https://github.com/metaspace2020/metaspace" TargetMode="External"/><Relationship Id="rId72" Type="http://schemas.openxmlformats.org/officeDocument/2006/relationships/hyperlink" Target="https://github.com/changwn/scFEA" TargetMode="External"/><Relationship Id="rId93" Type="http://schemas.openxmlformats.org/officeDocument/2006/relationships/hyperlink" Target="http://bioconductor.org/packages/ASICS/" TargetMode="External"/><Relationship Id="rId98" Type="http://schemas.openxmlformats.org/officeDocument/2006/relationships/hyperlink" Target="https://www.tidymass.org/" TargetMode="External"/><Relationship Id="rId3" Type="http://schemas.openxmlformats.org/officeDocument/2006/relationships/hyperlink" Target="https://webspecmine.org/" TargetMode="External"/><Relationship Id="rId25" Type="http://schemas.openxmlformats.org/officeDocument/2006/relationships/hyperlink" Target="https://redu.ucsd.edu/" TargetMode="External"/><Relationship Id="rId46" Type="http://schemas.openxmlformats.org/officeDocument/2006/relationships/hyperlink" Target="https://github.com/JamesJeffryes/MINE-API" TargetMode="External"/><Relationship Id="rId67" Type="http://schemas.openxmlformats.org/officeDocument/2006/relationships/hyperlink" Target="https://github.com/francescodc87/ipaPy2/blob/main/README.md" TargetMode="External"/><Relationship Id="rId20" Type="http://schemas.openxmlformats.org/officeDocument/2006/relationships/hyperlink" Target="https://scikit-learn.org/stable/user_guide.html" TargetMode="External"/><Relationship Id="rId41" Type="http://schemas.openxmlformats.org/officeDocument/2006/relationships/hyperlink" Target="https://github.com/divelab/MoleculeKit" TargetMode="External"/><Relationship Id="rId62" Type="http://schemas.openxmlformats.org/officeDocument/2006/relationships/hyperlink" Target="https://mybinder.org/v2/gh/SysMedOs/LipidLynxX/master?filepath=converter_notebook.ipynb" TargetMode="External"/><Relationship Id="rId83" Type="http://schemas.openxmlformats.org/officeDocument/2006/relationships/hyperlink" Target="https://github.com/chemprop/chemprop" TargetMode="External"/><Relationship Id="rId88" Type="http://schemas.openxmlformats.org/officeDocument/2006/relationships/hyperlink" Target="https://www.ncbi.nlm.nih.gov/geo)&amp;" TargetMode="External"/><Relationship Id="rId111" Type="http://schemas.openxmlformats.org/officeDocument/2006/relationships/hyperlink" Target="https://doi.org/10.1016/j.chroma.2020.4617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44987-F1A5-4695-A7D6-03D7608D0D3E}">
  <dimension ref="A1:AL898"/>
  <sheetViews>
    <sheetView tabSelected="1" topLeftCell="AD1" zoomScale="90" zoomScaleNormal="90" workbookViewId="0">
      <pane ySplit="1" topLeftCell="A2" activePane="bottomLeft" state="frozen"/>
      <selection pane="bottomLeft" activeCell="AJ4" sqref="AJ4"/>
    </sheetView>
  </sheetViews>
  <sheetFormatPr defaultColWidth="11.52734375" defaultRowHeight="15" customHeight="1" x14ac:dyDescent="0.5"/>
  <cols>
    <col min="1" max="1" width="8.234375" style="15" customWidth="1"/>
    <col min="2" max="2" width="17.76171875" style="25" customWidth="1"/>
    <col min="3" max="3" width="17.76171875" style="20" customWidth="1"/>
    <col min="4" max="4" width="36.3515625" style="18" customWidth="1"/>
    <col min="5" max="5" width="38.87890625" style="18" customWidth="1"/>
    <col min="6" max="6" width="41.1171875" style="18" customWidth="1"/>
    <col min="7" max="7" width="41.234375" style="18" customWidth="1"/>
    <col min="8" max="8" width="14.76171875" style="26" customWidth="1"/>
    <col min="9" max="9" width="16.52734375" style="26" customWidth="1"/>
    <col min="10" max="10" width="55.41015625" style="26" customWidth="1"/>
    <col min="11" max="11" width="16" style="26" customWidth="1"/>
    <col min="12" max="12" width="9.76171875" style="26" customWidth="1"/>
    <col min="13" max="13" width="11.64453125" style="26" customWidth="1"/>
    <col min="14" max="14" width="30.41015625" style="18" customWidth="1"/>
    <col min="15" max="15" width="44.41015625" style="18" customWidth="1"/>
    <col min="16" max="16" width="29.87890625" style="18" customWidth="1"/>
    <col min="17" max="18" width="34.1171875" style="18" customWidth="1"/>
    <col min="19" max="19" width="29.234375" style="18" customWidth="1"/>
    <col min="20" max="20" width="26.3515625" style="18" customWidth="1"/>
    <col min="21" max="21" width="12.3515625" style="18" customWidth="1"/>
    <col min="22" max="23" width="28.64453125" style="18" customWidth="1"/>
    <col min="24" max="24" width="27.76171875" style="18" customWidth="1"/>
    <col min="25" max="25" width="24.234375" style="18" customWidth="1"/>
    <col min="26" max="27" width="26.1171875" style="18" customWidth="1"/>
    <col min="28" max="29" width="31.87890625" style="18" customWidth="1"/>
    <col min="30" max="31" width="33.64453125" style="18" customWidth="1"/>
    <col min="32" max="33" width="30" style="18" customWidth="1"/>
    <col min="34" max="34" width="75.41015625" customWidth="1"/>
    <col min="35" max="35" width="23.234375" style="20" customWidth="1"/>
    <col min="36" max="16384" width="11.52734375" style="18"/>
  </cols>
  <sheetData>
    <row r="1" spans="1:38" s="15" customFormat="1" ht="69.349999999999994" x14ac:dyDescent="0.5">
      <c r="A1" s="1" t="s">
        <v>0</v>
      </c>
      <c r="B1" s="2" t="s">
        <v>1</v>
      </c>
      <c r="C1" s="3" t="s">
        <v>2</v>
      </c>
      <c r="D1" s="4" t="s">
        <v>3</v>
      </c>
      <c r="E1" s="4" t="s">
        <v>4</v>
      </c>
      <c r="F1" s="4" t="s">
        <v>5</v>
      </c>
      <c r="G1" s="4" t="s">
        <v>6</v>
      </c>
      <c r="H1" s="5" t="s">
        <v>7</v>
      </c>
      <c r="I1" s="5" t="s">
        <v>8</v>
      </c>
      <c r="J1" s="5" t="s">
        <v>9</v>
      </c>
      <c r="K1" s="5" t="s">
        <v>10</v>
      </c>
      <c r="L1" s="6" t="s">
        <v>11</v>
      </c>
      <c r="M1" s="5" t="s">
        <v>12</v>
      </c>
      <c r="N1" s="7" t="s">
        <v>13</v>
      </c>
      <c r="O1" s="7" t="s">
        <v>14</v>
      </c>
      <c r="P1" s="7" t="s">
        <v>15</v>
      </c>
      <c r="Q1" s="7" t="s">
        <v>16</v>
      </c>
      <c r="R1" s="7" t="s">
        <v>17</v>
      </c>
      <c r="S1" s="8" t="s">
        <v>18</v>
      </c>
      <c r="T1" s="8" t="s">
        <v>19</v>
      </c>
      <c r="U1" s="9" t="s">
        <v>20</v>
      </c>
      <c r="V1" s="10" t="s">
        <v>21</v>
      </c>
      <c r="W1" s="10" t="s">
        <v>22</v>
      </c>
      <c r="X1" s="10" t="s">
        <v>23</v>
      </c>
      <c r="Y1" s="10" t="s">
        <v>24</v>
      </c>
      <c r="Z1" s="10" t="s">
        <v>25</v>
      </c>
      <c r="AA1" s="10" t="s">
        <v>26</v>
      </c>
      <c r="AB1" s="11" t="s">
        <v>27</v>
      </c>
      <c r="AC1" s="11" t="s">
        <v>28</v>
      </c>
      <c r="AD1" s="11" t="s">
        <v>29</v>
      </c>
      <c r="AE1" s="11" t="s">
        <v>30</v>
      </c>
      <c r="AF1" s="12" t="s">
        <v>31</v>
      </c>
      <c r="AG1" s="12" t="s">
        <v>32</v>
      </c>
      <c r="AH1" s="13" t="s">
        <v>33</v>
      </c>
      <c r="AI1" s="14" t="s">
        <v>34</v>
      </c>
      <c r="AJ1" s="13"/>
    </row>
    <row r="2" spans="1:38" s="19" customFormat="1" ht="78.349999999999994" x14ac:dyDescent="0.5">
      <c r="A2" s="16">
        <v>1</v>
      </c>
      <c r="B2" s="17" t="s">
        <v>35</v>
      </c>
      <c r="C2" s="17" t="s">
        <v>36</v>
      </c>
      <c r="D2" s="17" t="s">
        <v>37</v>
      </c>
      <c r="E2" s="17" t="s">
        <v>38</v>
      </c>
      <c r="F2" s="17" t="s">
        <v>39</v>
      </c>
      <c r="G2" s="17" t="s">
        <v>40</v>
      </c>
      <c r="H2" s="17">
        <v>2024</v>
      </c>
      <c r="I2" s="17" t="s">
        <v>41</v>
      </c>
      <c r="J2" s="17" t="s">
        <v>42</v>
      </c>
      <c r="K2" s="17" t="s">
        <v>43</v>
      </c>
      <c r="L2" s="17">
        <v>4.4000000000000004</v>
      </c>
      <c r="M2" s="17">
        <v>14</v>
      </c>
      <c r="N2" s="17" t="s">
        <v>44</v>
      </c>
      <c r="O2" s="17" t="s">
        <v>45</v>
      </c>
      <c r="P2" s="17" t="s">
        <v>46</v>
      </c>
      <c r="Q2" s="17" t="s">
        <v>47</v>
      </c>
      <c r="R2" s="17" cm="1">
        <f t="array" ref="R2">IF(AND(OR(ISNUMBER(SEARCH({"mzml","mzxml","mztab","mztab-m","mgf","mzdata","peakml","traml","mzidentml","pepxml","protxml","imzml","nmrml","fid","cnx","smiles","inchi","inchikey","sdf","mol","mol2","xyz","smi","pdb","mmcif","cif","fasta","fastq","gtf","sam","bam","vcf","csv","tsv","json","hdf5","h5ad","msp","ms","isa-tab","biom"},LOWER(P2)))),OR(ISNUMBER(SEARCH({"mzml","mzxml","mztab","mztab-m","mgf","msp","pepxml","protxml","mzidentml","idxml","featurexml","consensusxml","qcml","mzquantml","peakml","nmrml","massbank","smiles","inchi","inchikey","sdf","mol","smi","pdb","mmcif","cif","fasta","fastq","bam","vcf","genbank","gff","csv","tsv","json","xlsx","hdf5","h5ad","graphml","gml","isa-tab","blib","newick","onnx"},LOWER(Q2))))),1,0)</f>
        <v>0</v>
      </c>
      <c r="S2" s="17" t="s">
        <v>48</v>
      </c>
      <c r="T2" s="17" t="s">
        <v>49</v>
      </c>
      <c r="U2" s="17">
        <v>0</v>
      </c>
      <c r="V2" s="17" t="s">
        <v>50</v>
      </c>
      <c r="W2" s="17">
        <f t="shared" ref="W2:W65" si="0">IF(OR(ISNUMBER(SEARCH("chembl",LOWER(V2))),ISNUMBER(SEARCH("pubchem",LOWER(V2))),ISNUMBER(SEARCH("zinc",LOWER(V2))),ISNUMBER(SEARCH("drugbank",LOWER(V2))),ISNUMBER(SEARCH("chebi",LOWER(V2))),ISNUMBER(SEARCH("chemspider",LOWER(V2))),ISNUMBER(SEARCH("hmdb",LOWER(V2))),ISNUMBER(SEARCH("kegg",LOWER(V2))),ISNUMBER(SEARCH("lipid maps",LOWER(V2))),ISNUMBER(SEARCH("metabolights",LOWER(V2))),ISNUMBER(SEARCH("metabolomics workbench",LOWER(V2))),ISNUMBER(SEARCH("gnps",LOWER(V2))),ISNUMBER(SEARCH("massbank",LOWER(V2))),ISNUMBER(SEARCH("mona",LOWER(V2))),ISNUMBER(SEARCH("metlin",LOWER(V2))),ISNUMBER(SEARCH("swisslipids",LOWER(V2))),ISNUMBER(SEARCH("uniprot",LOWER(V2))),ISNUMBER(SEARCH("pdb",LOWER(V2))),ISNUMBER(SEARCH("pride",LOWER(V2))),ISNUMBER(SEARCH("peptideatlas",LOWER(V2))),ISNUMBER(SEARCH("proteomexchange",LOWER(V2))),ISNUMBER(SEARCH("geo",LOWER(V2))),ISNUMBER(SEARCH("sra",LOWER(V2))),ISNUMBER(SEARCH("ensembl",LOWER(V2))),ISNUMBER(SEARCH("refseq",LOWER(V2))),ISNUMBER(SEARCH("arrayexpress",LOWER(V2))),ISNUMBER(SEARCH("reactome",LOWER(V2))),ISNUMBER(SEARCH("biocyc",LOWER(V2))),ISNUMBER(SEARCH("wikipathways",LOWER(V2))),ISNUMBER(SEARCH("pathbank",LOWER(V2))),ISNUMBER(SEARCH("gtex",LOWER(V2))),ISNUMBER(SEARCH("encode",LOWER(V2))),ISNUMBER(SEARCH("string",LOWER(V2)))),1,0)</f>
        <v>1</v>
      </c>
      <c r="X2" s="17" t="s">
        <v>51</v>
      </c>
      <c r="Y2" s="17" t="s">
        <v>52</v>
      </c>
      <c r="Z2" s="17" t="s">
        <v>53</v>
      </c>
      <c r="AA2" s="17">
        <f t="shared" ref="AA2:AA65" si="1">IF(OR(
  ISNUMBER(SEARCH("http://",LOWER(Z2))),
  ISNUMBER(SEARCH("https://",LOWER(Z2))),
  ISNUMBER(SEARCH("doi.org",LOWER(Z2))),
  ISNUMBER(SEARCH("zenodo",LOWER(Z2))),
  ISNUMBER(SEARCH("github",LOWER(Z2))),
  ISNUMBER(SEARCH("figshare",LOWER(Z2))),
  ISNUMBER(SEARCH("massive.ucsd",LOWER(Z2))),
  ISNUMBER(SEARCH("gnps.ucsd",LOWER(Z2))),
  ISNUMBER(SEARCH("metabolights",LOWER(Z2))),
  ISNUMBER(SEARCH("ncbi.nlm.nih.gov",LOWER(Z2)))
),1,0)</f>
        <v>1</v>
      </c>
      <c r="AB2" s="17" t="s">
        <v>54</v>
      </c>
      <c r="AC2" s="17">
        <f t="shared" ref="AC2:AC65" si="2">IF(OR(ISNUMBER(SEARCH("not available",LOWER(AB2)))),0,IF(OR(ISNUMBER(SEARCH("github",LOWER(AB2))),ISNUMBER(SEARCH("gitlab",LOWER(AB2))),ISNUMBER(SEARCH("bitbucket",LOWER(AB2))),ISNUMBER(SEARCH("docker",LOWER(AB2))),ISNUMBER(SEARCH("pypi.org",LOWER(AB2))),ISNUMBER(SEARCH("anaconda.org",LOWER(AB2))),ISNUMBER(SEARCH("cran.r-project",LOWER(AB2))),ISNUMBER(SEARCH("bioconductor.org",LOWER(AB2))),ISNUMBER(SEARCH("toolshed",LOWER(AB2))),ISNUMBER(SEARCH("zenodo",LOWER(AB2))),ISNUMBER(SEARCH("doi.org",LOWER(AB2)))),1,0))</f>
        <v>1</v>
      </c>
      <c r="AD2" s="17" t="s">
        <v>55</v>
      </c>
      <c r="AE2" s="17">
        <f t="shared" ref="AE2:AE65" si="3">IF(OR(ISNUMBER(SEARCH("nextflow",LOWER(AD2))),ISNUMBER(SEARCH("snakemake",LOWER(AD2))),ISNUMBER(SEARCH("galaxy",LOWER(AD2))),ISNUMBER(SEARCH("cwl",LOWER(AD2))),ISNUMBER(SEARCH("knime",LOWER(AD2))),ISNUMBER(SEARCH("docker",LOWER(AD2))),ISNUMBER(SEARCH("container",LOWER(AD2))),ISNUMBER(SEARCH("singularity",LOWER(AD2))),ISNUMBER(SEARCH("pip install",LOWER(AD2))),ISNUMBER(SEARCH("conda",LOWER(AD2))),ISNUMBER(SEARCH("anaconda",LOWER(AD2))),ISNUMBER(SEARCH("bioconda",LOWER(AD2))),ISNUMBER(SEARCH("cran",LOWER(AD2))),ISNUMBER(SEARCH("bioconductor",LOWER(AD2))),ISNUMBER(SEARCH("pypi",LOWER(AD2)))),1,0)</f>
        <v>0</v>
      </c>
      <c r="AF2" s="17" t="s">
        <v>56</v>
      </c>
      <c r="AG2" s="17" t="str">
        <f t="shared" ref="AG2:AG65" si="4">IF(OR(
    ISNUMBER(SEARCH("food",AF2)),
    ISNUMBER(SEARCH("pesticide",AF2)),
    ISNUMBER(SEARCH("agricultural",AF2)),
    ISNUMBER(SEARCH("crop",AF2)),
    ISNUMBER(SEARCH("residue",AF2)),
    ISNUMBER(SEARCH("contaminant",AF2))
  ), "Food &amp; Agriculture",
  IF(OR(
      ISNUMBER(SEARCH("disease",AF2)),
      ISNUMBER(SEARCH("diagnosis",AF2)),
      ISNUMBER(SEARCH("clinical",AF2)),
      ISNUMBER(SEARCH("patient",AF2)),
      ISNUMBER(SEARCH("biomarker",AF2)),
      ISNUMBER(SEARCH("cancer",AF2)),
      ISNUMBER(SEARCH("coronary",AF2))
    ), "Clinical and Health",
    IF(OR(
        ISNUMBER(SEARCH("drug discovery",AF2)),
        ISNUMBER(SEARCH("ADMET",AF2)),
        ISNUMBER(SEARCH("virtual screening",AF2)),
        ISNUMBER(SEARCH("lead optimization",AF2)),
        ISNUMBER(SEARCH("QSAR",AF2)),
        ISNUMBER(SEARCH("pharma",AF2))
      ), "Drug Discovery",
      IF(OR(
          ISNUMBER(SEARCH("environmental",AF2)),
          ISNUMBER(SEARCH("microbial community",AF2)),
          ISNUMBER(SEARCH("ecological",AF2))
        ), "Environmental",
        "Methodological"
      )
    )
  )
)</f>
        <v>Drug Discovery</v>
      </c>
      <c r="AH2" s="17" t="s">
        <v>57</v>
      </c>
      <c r="AI2" s="16">
        <f t="shared" ref="AI2:AI65" si="5">R2+U2+W2+AA2+AC2+AE2</f>
        <v>3</v>
      </c>
      <c r="AJ2" s="17"/>
      <c r="AK2" s="18"/>
      <c r="AL2" s="18"/>
    </row>
    <row r="3" spans="1:38" ht="250.1" customHeight="1" x14ac:dyDescent="0.5">
      <c r="A3" s="16">
        <v>2</v>
      </c>
      <c r="B3" s="17" t="s">
        <v>35</v>
      </c>
      <c r="C3" s="17" t="s">
        <v>58</v>
      </c>
      <c r="D3" s="17" t="s">
        <v>59</v>
      </c>
      <c r="E3" s="17" t="s">
        <v>60</v>
      </c>
      <c r="F3" s="17" t="s">
        <v>61</v>
      </c>
      <c r="G3" s="17" t="s">
        <v>62</v>
      </c>
      <c r="H3" s="17">
        <v>2024</v>
      </c>
      <c r="I3" s="17" t="s">
        <v>41</v>
      </c>
      <c r="J3" s="17" t="s">
        <v>63</v>
      </c>
      <c r="K3" s="17" t="s">
        <v>64</v>
      </c>
      <c r="L3" s="17">
        <v>5.6</v>
      </c>
      <c r="M3" s="17">
        <v>9</v>
      </c>
      <c r="N3" s="17" t="s">
        <v>65</v>
      </c>
      <c r="O3" s="17" t="s">
        <v>66</v>
      </c>
      <c r="P3" s="17" t="s">
        <v>67</v>
      </c>
      <c r="Q3" s="17" t="s">
        <v>68</v>
      </c>
      <c r="R3" s="17" cm="1">
        <f t="array" ref="R3">IF(AND(OR(ISNUMBER(SEARCH({"mzml","mzxml","mztab","mztab-m","mgf","mzdata","peakml","traml","mzidentml","pepxml","protxml","imzml","nmrml","fid","cnx","smiles","inchi","inchikey","sdf","mol","mol2","xyz","smi","pdb","mmcif","cif","fasta","fastq","gtf","sam","bam","vcf","csv","tsv","json","hdf5","h5ad","msp","ms","isa-tab","biom"},LOWER(P3)))),OR(ISNUMBER(SEARCH({"mzml","mzxml","mztab","mztab-m","mgf","msp","pepxml","protxml","mzidentml","idxml","featurexml","consensusxml","qcml","mzquantml","peakml","nmrml","massbank","smiles","inchi","inchikey","sdf","mol","smi","pdb","mmcif","cif","fasta","fastq","bam","vcf","genbank","gff","csv","tsv","json","xlsx","hdf5","h5ad","graphml","gml","isa-tab","blib","newick","onnx"},LOWER(Q3))))),1,0)</f>
        <v>1</v>
      </c>
      <c r="S3" s="17" t="s">
        <v>69</v>
      </c>
      <c r="T3" s="17" t="s">
        <v>70</v>
      </c>
      <c r="U3" s="17">
        <v>0</v>
      </c>
      <c r="V3" s="17" t="s">
        <v>71</v>
      </c>
      <c r="W3" s="17">
        <f t="shared" si="0"/>
        <v>1</v>
      </c>
      <c r="X3" s="17" t="s">
        <v>72</v>
      </c>
      <c r="Y3" s="17" t="s">
        <v>73</v>
      </c>
      <c r="Z3" s="17" t="s">
        <v>74</v>
      </c>
      <c r="AA3" s="17">
        <f t="shared" si="1"/>
        <v>0</v>
      </c>
      <c r="AB3" s="17" t="s">
        <v>75</v>
      </c>
      <c r="AC3" s="17">
        <f t="shared" si="2"/>
        <v>1</v>
      </c>
      <c r="AD3" s="17" t="s">
        <v>76</v>
      </c>
      <c r="AE3" s="17">
        <f t="shared" si="3"/>
        <v>0</v>
      </c>
      <c r="AF3" s="17" t="s">
        <v>77</v>
      </c>
      <c r="AG3" s="17" t="str">
        <f t="shared" si="4"/>
        <v>Drug Discovery</v>
      </c>
      <c r="AH3" s="17" t="s">
        <v>78</v>
      </c>
      <c r="AI3" s="16">
        <f t="shared" si="5"/>
        <v>3</v>
      </c>
      <c r="AJ3" s="17"/>
    </row>
    <row r="4" spans="1:38" ht="250.1" customHeight="1" x14ac:dyDescent="0.5">
      <c r="A4" s="16">
        <v>3</v>
      </c>
      <c r="B4" s="17" t="s">
        <v>79</v>
      </c>
      <c r="C4" s="17" t="s">
        <v>80</v>
      </c>
      <c r="D4" s="17" t="s">
        <v>81</v>
      </c>
      <c r="E4" s="17" t="s">
        <v>82</v>
      </c>
      <c r="F4" s="17" t="s">
        <v>83</v>
      </c>
      <c r="G4" s="17" t="s">
        <v>84</v>
      </c>
      <c r="H4" s="17">
        <v>2020</v>
      </c>
      <c r="I4" s="17" t="s">
        <v>41</v>
      </c>
      <c r="J4" s="17" t="s">
        <v>85</v>
      </c>
      <c r="K4" s="17" t="s">
        <v>86</v>
      </c>
      <c r="L4" s="17">
        <v>7.1</v>
      </c>
      <c r="M4" s="17">
        <v>259</v>
      </c>
      <c r="N4" s="17" t="s">
        <v>87</v>
      </c>
      <c r="O4" s="17" t="s">
        <v>88</v>
      </c>
      <c r="P4" s="17" t="s">
        <v>89</v>
      </c>
      <c r="Q4" s="17" t="s">
        <v>90</v>
      </c>
      <c r="R4" s="17" cm="1">
        <f t="array" ref="R4">IF(AND(OR(ISNUMBER(SEARCH({"mzml","mzxml","mztab","mztab-m","mgf","mzdata","peakml","traml","mzidentml","pepxml","protxml","imzml","nmrml","fid","cnx","smiles","inchi","inchikey","sdf","mol","mol2","xyz","smi","pdb","mmcif","cif","fasta","fastq","gtf","sam","bam","vcf","csv","tsv","json","hdf5","h5ad","msp","ms","isa-tab","biom"},LOWER(P4)))),OR(ISNUMBER(SEARCH({"mzml","mzxml","mztab","mztab-m","mgf","msp","pepxml","protxml","mzidentml","idxml","featurexml","consensusxml","qcml","mzquantml","peakml","nmrml","massbank","smiles","inchi","inchikey","sdf","mol","smi","pdb","mmcif","cif","fasta","fastq","bam","vcf","genbank","gff","csv","tsv","json","xlsx","hdf5","h5ad","graphml","gml","isa-tab","blib","newick","onnx"},LOWER(Q4))))),1,0)</f>
        <v>1</v>
      </c>
      <c r="S4" s="17" t="s">
        <v>91</v>
      </c>
      <c r="T4" s="17" t="s">
        <v>92</v>
      </c>
      <c r="U4" s="17">
        <v>0</v>
      </c>
      <c r="V4" s="17" t="s">
        <v>93</v>
      </c>
      <c r="W4" s="17">
        <f t="shared" si="0"/>
        <v>1</v>
      </c>
      <c r="X4" s="17" t="s">
        <v>94</v>
      </c>
      <c r="Y4" s="17" t="s">
        <v>95</v>
      </c>
      <c r="Z4" s="17" t="s">
        <v>96</v>
      </c>
      <c r="AA4" s="17">
        <f t="shared" si="1"/>
        <v>1</v>
      </c>
      <c r="AB4" s="17" t="s">
        <v>97</v>
      </c>
      <c r="AC4" s="17">
        <f t="shared" si="2"/>
        <v>1</v>
      </c>
      <c r="AD4" s="17" t="s">
        <v>98</v>
      </c>
      <c r="AE4" s="17">
        <f t="shared" si="3"/>
        <v>0</v>
      </c>
      <c r="AF4" s="17" t="s">
        <v>99</v>
      </c>
      <c r="AG4" s="17" t="str">
        <f t="shared" si="4"/>
        <v>Drug Discovery</v>
      </c>
      <c r="AH4" s="17" t="s">
        <v>100</v>
      </c>
      <c r="AI4" s="16">
        <f t="shared" si="5"/>
        <v>4</v>
      </c>
      <c r="AJ4" s="17"/>
    </row>
    <row r="5" spans="1:38" ht="250.1" customHeight="1" x14ac:dyDescent="0.5">
      <c r="A5" s="16">
        <v>4</v>
      </c>
      <c r="B5" s="17" t="s">
        <v>101</v>
      </c>
      <c r="C5" s="17" t="s">
        <v>102</v>
      </c>
      <c r="D5" s="17" t="s">
        <v>103</v>
      </c>
      <c r="E5" s="17" t="s">
        <v>104</v>
      </c>
      <c r="F5" s="17" t="s">
        <v>105</v>
      </c>
      <c r="G5" s="17" t="s">
        <v>106</v>
      </c>
      <c r="H5" s="17">
        <v>2013</v>
      </c>
      <c r="I5" s="17" t="s">
        <v>41</v>
      </c>
      <c r="J5" s="17" t="s">
        <v>107</v>
      </c>
      <c r="K5" s="17" t="s">
        <v>108</v>
      </c>
      <c r="L5" s="17">
        <v>2.9</v>
      </c>
      <c r="M5" s="17">
        <v>167</v>
      </c>
      <c r="N5" s="17" t="s">
        <v>109</v>
      </c>
      <c r="O5" s="17" t="s">
        <v>110</v>
      </c>
      <c r="P5" s="17" t="s">
        <v>111</v>
      </c>
      <c r="Q5" s="17" t="s">
        <v>112</v>
      </c>
      <c r="R5" s="17" cm="1">
        <f t="array" ref="R5">IF(AND(OR(ISNUMBER(SEARCH({"mzml","mzxml","mztab","mztab-m","mgf","mzdata","peakml","traml","mzidentml","pepxml","protxml","imzml","nmrml","fid","cnx","smiles","inchi","inchikey","sdf","mol","mol2","xyz","smi","pdb","mmcif","cif","fasta","fastq","gtf","sam","bam","vcf","csv","tsv","json","hdf5","h5ad","msp","ms","isa-tab","biom"},LOWER(P5)))),OR(ISNUMBER(SEARCH({"mzml","mzxml","mztab","mztab-m","mgf","msp","pepxml","protxml","mzidentml","idxml","featurexml","consensusxml","qcml","mzquantml","peakml","nmrml","massbank","smiles","inchi","inchikey","sdf","mol","smi","pdb","mmcif","cif","fasta","fastq","bam","vcf","genbank","gff","csv","tsv","json","xlsx","hdf5","h5ad","graphml","gml","isa-tab","blib","newick","onnx"},LOWER(Q5))))),1,0)</f>
        <v>1</v>
      </c>
      <c r="S5" s="17" t="s">
        <v>113</v>
      </c>
      <c r="T5" s="17" t="s">
        <v>114</v>
      </c>
      <c r="U5" s="17">
        <v>1</v>
      </c>
      <c r="V5" s="17" t="s">
        <v>115</v>
      </c>
      <c r="W5" s="17">
        <f t="shared" si="0"/>
        <v>0</v>
      </c>
      <c r="X5" s="17" t="s">
        <v>116</v>
      </c>
      <c r="Y5" s="17" t="s">
        <v>117</v>
      </c>
      <c r="Z5" s="17" t="s">
        <v>118</v>
      </c>
      <c r="AA5" s="17">
        <f t="shared" si="1"/>
        <v>1</v>
      </c>
      <c r="AB5" s="17" t="s">
        <v>119</v>
      </c>
      <c r="AC5" s="17">
        <f t="shared" si="2"/>
        <v>0</v>
      </c>
      <c r="AD5" s="17" t="s">
        <v>120</v>
      </c>
      <c r="AE5" s="17">
        <f t="shared" si="3"/>
        <v>0</v>
      </c>
      <c r="AF5" s="17" t="s">
        <v>121</v>
      </c>
      <c r="AG5" s="17" t="str">
        <f t="shared" si="4"/>
        <v>Methodological</v>
      </c>
      <c r="AH5" s="17" t="s">
        <v>122</v>
      </c>
      <c r="AI5" s="16">
        <f t="shared" si="5"/>
        <v>3</v>
      </c>
      <c r="AJ5" s="17"/>
    </row>
    <row r="6" spans="1:38" ht="250.1" customHeight="1" x14ac:dyDescent="0.5">
      <c r="A6" s="16">
        <v>5</v>
      </c>
      <c r="B6" s="17" t="s">
        <v>101</v>
      </c>
      <c r="C6" s="17" t="s">
        <v>123</v>
      </c>
      <c r="D6" s="17" t="s">
        <v>124</v>
      </c>
      <c r="E6" s="17" t="s">
        <v>125</v>
      </c>
      <c r="F6" s="17" t="s">
        <v>126</v>
      </c>
      <c r="G6" s="17" t="s">
        <v>127</v>
      </c>
      <c r="H6" s="17">
        <v>2019</v>
      </c>
      <c r="I6" s="17" t="s">
        <v>41</v>
      </c>
      <c r="J6" s="17" t="s">
        <v>128</v>
      </c>
      <c r="K6" s="17" t="s">
        <v>43</v>
      </c>
      <c r="L6" s="17">
        <v>4.4000000000000004</v>
      </c>
      <c r="M6" s="17">
        <v>71</v>
      </c>
      <c r="N6" s="17" t="s">
        <v>129</v>
      </c>
      <c r="O6" s="17" t="s">
        <v>130</v>
      </c>
      <c r="P6" s="17" t="s">
        <v>131</v>
      </c>
      <c r="Q6" s="17" t="s">
        <v>132</v>
      </c>
      <c r="R6" s="17" cm="1">
        <f t="array" ref="R6">IF(AND(OR(ISNUMBER(SEARCH({"mzml","mzxml","mztab","mztab-m","mgf","mzdata","peakml","traml","mzidentml","pepxml","protxml","imzml","nmrml","fid","cnx","smiles","inchi","inchikey","sdf","mol","mol2","xyz","smi","pdb","mmcif","cif","fasta","fastq","gtf","sam","bam","vcf","csv","tsv","json","hdf5","h5ad","msp","ms","isa-tab","biom"},LOWER(P6)))),OR(ISNUMBER(SEARCH({"mzml","mzxml","mztab","mztab-m","mgf","msp","pepxml","protxml","mzidentml","idxml","featurexml","consensusxml","qcml","mzquantml","peakml","nmrml","massbank","smiles","inchi","inchikey","sdf","mol","smi","pdb","mmcif","cif","fasta","fastq","bam","vcf","genbank","gff","csv","tsv","json","xlsx","hdf5","h5ad","graphml","gml","isa-tab","blib","newick","onnx"},LOWER(Q6))))),1,0)</f>
        <v>0</v>
      </c>
      <c r="S6" s="17" t="s">
        <v>133</v>
      </c>
      <c r="T6" s="17" t="s">
        <v>134</v>
      </c>
      <c r="U6" s="17">
        <v>1</v>
      </c>
      <c r="V6" s="17" t="s">
        <v>135</v>
      </c>
      <c r="W6" s="17">
        <f t="shared" si="0"/>
        <v>1</v>
      </c>
      <c r="X6" s="17" t="s">
        <v>136</v>
      </c>
      <c r="Y6" s="17" t="s">
        <v>137</v>
      </c>
      <c r="Z6" s="17" t="s">
        <v>138</v>
      </c>
      <c r="AA6" s="17">
        <f t="shared" si="1"/>
        <v>1</v>
      </c>
      <c r="AB6" s="17" t="s">
        <v>139</v>
      </c>
      <c r="AC6" s="17">
        <f t="shared" si="2"/>
        <v>1</v>
      </c>
      <c r="AD6" s="17" t="s">
        <v>140</v>
      </c>
      <c r="AE6" s="17">
        <f t="shared" si="3"/>
        <v>0</v>
      </c>
      <c r="AF6" s="17" t="s">
        <v>141</v>
      </c>
      <c r="AG6" s="17" t="str">
        <f t="shared" si="4"/>
        <v>Clinical and Health</v>
      </c>
      <c r="AH6" s="17" t="s">
        <v>142</v>
      </c>
      <c r="AI6" s="16">
        <f t="shared" si="5"/>
        <v>4</v>
      </c>
      <c r="AJ6" s="17"/>
    </row>
    <row r="7" spans="1:38" s="20" customFormat="1" ht="250.1" customHeight="1" x14ac:dyDescent="0.5">
      <c r="A7" s="16">
        <v>6</v>
      </c>
      <c r="B7" s="17" t="s">
        <v>101</v>
      </c>
      <c r="C7" s="17" t="s">
        <v>143</v>
      </c>
      <c r="D7" s="17" t="s">
        <v>144</v>
      </c>
      <c r="E7" s="17" t="s">
        <v>145</v>
      </c>
      <c r="F7" s="17" t="s">
        <v>146</v>
      </c>
      <c r="G7" s="17" t="s">
        <v>147</v>
      </c>
      <c r="H7" s="17">
        <v>2022</v>
      </c>
      <c r="I7" s="17" t="s">
        <v>148</v>
      </c>
      <c r="J7" s="17" t="s">
        <v>149</v>
      </c>
      <c r="K7" s="17" t="s">
        <v>64</v>
      </c>
      <c r="L7" s="17">
        <v>5.6</v>
      </c>
      <c r="M7" s="17">
        <v>10</v>
      </c>
      <c r="N7" s="17" t="s">
        <v>150</v>
      </c>
      <c r="O7" s="17" t="s">
        <v>151</v>
      </c>
      <c r="P7" s="17" t="s">
        <v>152</v>
      </c>
      <c r="Q7" s="17" t="s">
        <v>153</v>
      </c>
      <c r="R7" s="17" cm="1">
        <f t="array" ref="R7">IF(AND(OR(ISNUMBER(SEARCH({"mzml","mzxml","mztab","mztab-m","mgf","mzdata","peakml","traml","mzidentml","pepxml","protxml","imzml","nmrml","fid","cnx","smiles","inchi","inchikey","sdf","mol","mol2","xyz","smi","pdb","mmcif","cif","fasta","fastq","gtf","sam","bam","vcf","csv","tsv","json","hdf5","h5ad","msp","ms","isa-tab","biom"},LOWER(P7)))),OR(ISNUMBER(SEARCH({"mzml","mzxml","mztab","mztab-m","mgf","msp","pepxml","protxml","mzidentml","idxml","featurexml","consensusxml","qcml","mzquantml","peakml","nmrml","massbank","smiles","inchi","inchikey","sdf","mol","smi","pdb","mmcif","cif","fasta","fastq","bam","vcf","genbank","gff","csv","tsv","json","xlsx","hdf5","h5ad","graphml","gml","isa-tab","blib","newick","onnx"},LOWER(Q7))))),1,0)</f>
        <v>1</v>
      </c>
      <c r="S7" s="17" t="s">
        <v>154</v>
      </c>
      <c r="T7" s="17" t="s">
        <v>155</v>
      </c>
      <c r="U7" s="17">
        <v>1</v>
      </c>
      <c r="V7" s="17" t="s">
        <v>156</v>
      </c>
      <c r="W7" s="17">
        <f t="shared" si="0"/>
        <v>1</v>
      </c>
      <c r="X7" s="17" t="s">
        <v>157</v>
      </c>
      <c r="Y7" s="17" t="s">
        <v>158</v>
      </c>
      <c r="Z7" s="17" t="s">
        <v>159</v>
      </c>
      <c r="AA7" s="17">
        <f t="shared" si="1"/>
        <v>1</v>
      </c>
      <c r="AB7" s="17" t="s">
        <v>160</v>
      </c>
      <c r="AC7" s="17">
        <f t="shared" si="2"/>
        <v>0</v>
      </c>
      <c r="AD7" s="17" t="s">
        <v>161</v>
      </c>
      <c r="AE7" s="17">
        <f t="shared" si="3"/>
        <v>1</v>
      </c>
      <c r="AF7" s="17" t="s">
        <v>162</v>
      </c>
      <c r="AG7" s="17" t="str">
        <f t="shared" si="4"/>
        <v>Methodological</v>
      </c>
      <c r="AH7" s="17" t="s">
        <v>163</v>
      </c>
      <c r="AI7" s="16">
        <f t="shared" si="5"/>
        <v>5</v>
      </c>
      <c r="AJ7" s="17"/>
      <c r="AK7" s="18"/>
      <c r="AL7" s="18"/>
    </row>
    <row r="8" spans="1:38" ht="250.1" customHeight="1" x14ac:dyDescent="0.5">
      <c r="A8" s="16">
        <v>7</v>
      </c>
      <c r="B8" s="17" t="s">
        <v>35</v>
      </c>
      <c r="C8" s="17" t="s">
        <v>164</v>
      </c>
      <c r="D8" s="17" t="s">
        <v>165</v>
      </c>
      <c r="E8" s="17" t="s">
        <v>166</v>
      </c>
      <c r="F8" s="17" t="s">
        <v>167</v>
      </c>
      <c r="G8" s="17" t="s">
        <v>168</v>
      </c>
      <c r="H8" s="17">
        <v>2021</v>
      </c>
      <c r="I8" s="17" t="s">
        <v>41</v>
      </c>
      <c r="J8" s="17" t="s">
        <v>169</v>
      </c>
      <c r="K8" s="17" t="s">
        <v>170</v>
      </c>
      <c r="L8" s="17">
        <v>3.4</v>
      </c>
      <c r="M8" s="17">
        <v>63</v>
      </c>
      <c r="N8" s="17" t="s">
        <v>171</v>
      </c>
      <c r="O8" s="17" t="s">
        <v>172</v>
      </c>
      <c r="P8" s="17" t="s">
        <v>173</v>
      </c>
      <c r="Q8" s="17" t="s">
        <v>174</v>
      </c>
      <c r="R8" s="17" cm="1">
        <f t="array" ref="R8">IF(AND(OR(ISNUMBER(SEARCH({"mzml","mzxml","mztab","mztab-m","mgf","mzdata","peakml","traml","mzidentml","pepxml","protxml","imzml","nmrml","fid","cnx","smiles","inchi","inchikey","sdf","mol","mol2","xyz","smi","pdb","mmcif","cif","fasta","fastq","gtf","sam","bam","vcf","csv","tsv","json","hdf5","h5ad","msp","ms","isa-tab","biom"},LOWER(P8)))),OR(ISNUMBER(SEARCH({"mzml","mzxml","mztab","mztab-m","mgf","msp","pepxml","protxml","mzidentml","idxml","featurexml","consensusxml","qcml","mzquantml","peakml","nmrml","massbank","smiles","inchi","inchikey","sdf","mol","smi","pdb","mmcif","cif","fasta","fastq","bam","vcf","genbank","gff","csv","tsv","json","xlsx","hdf5","h5ad","graphml","gml","isa-tab","blib","newick","onnx"},LOWER(Q8))))),1,0)</f>
        <v>0</v>
      </c>
      <c r="S8" s="17" t="s">
        <v>175</v>
      </c>
      <c r="T8" s="17" t="s">
        <v>176</v>
      </c>
      <c r="U8" s="17">
        <v>0</v>
      </c>
      <c r="V8" s="17" t="s">
        <v>177</v>
      </c>
      <c r="W8" s="17">
        <f t="shared" si="0"/>
        <v>0</v>
      </c>
      <c r="X8" s="17" t="s">
        <v>178</v>
      </c>
      <c r="Y8" s="17" t="s">
        <v>179</v>
      </c>
      <c r="Z8" s="17" t="s">
        <v>180</v>
      </c>
      <c r="AA8" s="17">
        <f t="shared" si="1"/>
        <v>1</v>
      </c>
      <c r="AB8" s="17" t="s">
        <v>180</v>
      </c>
      <c r="AC8" s="17">
        <f t="shared" si="2"/>
        <v>0</v>
      </c>
      <c r="AD8" s="17" t="s">
        <v>181</v>
      </c>
      <c r="AE8" s="17">
        <f t="shared" si="3"/>
        <v>0</v>
      </c>
      <c r="AF8" s="17" t="s">
        <v>182</v>
      </c>
      <c r="AG8" s="17" t="str">
        <f t="shared" si="4"/>
        <v>Drug Discovery</v>
      </c>
      <c r="AH8" s="17" t="s">
        <v>183</v>
      </c>
      <c r="AI8" s="16">
        <f t="shared" si="5"/>
        <v>1</v>
      </c>
      <c r="AJ8" s="17"/>
    </row>
    <row r="9" spans="1:38" ht="250.1" customHeight="1" x14ac:dyDescent="0.5">
      <c r="A9" s="16">
        <v>8</v>
      </c>
      <c r="B9" s="17" t="s">
        <v>35</v>
      </c>
      <c r="C9" s="17" t="s">
        <v>184</v>
      </c>
      <c r="D9" s="17" t="s">
        <v>185</v>
      </c>
      <c r="E9" s="17" t="s">
        <v>186</v>
      </c>
      <c r="F9" s="17" t="s">
        <v>187</v>
      </c>
      <c r="G9" s="17" t="s">
        <v>188</v>
      </c>
      <c r="H9" s="17">
        <v>2024</v>
      </c>
      <c r="I9" s="17" t="s">
        <v>41</v>
      </c>
      <c r="J9" s="17" t="s">
        <v>189</v>
      </c>
      <c r="K9" s="17" t="s">
        <v>190</v>
      </c>
      <c r="L9" s="17">
        <v>9.4</v>
      </c>
      <c r="M9" s="17">
        <v>2</v>
      </c>
      <c r="N9" s="17" t="s">
        <v>191</v>
      </c>
      <c r="O9" s="17" t="s">
        <v>192</v>
      </c>
      <c r="P9" s="17" t="s">
        <v>193</v>
      </c>
      <c r="Q9" s="17" t="s">
        <v>194</v>
      </c>
      <c r="R9" s="17" cm="1">
        <f t="array" ref="R9">IF(AND(OR(ISNUMBER(SEARCH({"mzml","mzxml","mztab","mztab-m","mgf","mzdata","peakml","traml","mzidentml","pepxml","protxml","imzml","nmrml","fid","cnx","smiles","inchi","inchikey","sdf","mol","mol2","xyz","smi","pdb","mmcif","cif","fasta","fastq","gtf","sam","bam","vcf","csv","tsv","json","hdf5","h5ad","msp","ms","isa-tab","biom"},LOWER(P9)))),OR(ISNUMBER(SEARCH({"mzml","mzxml","mztab","mztab-m","mgf","msp","pepxml","protxml","mzidentml","idxml","featurexml","consensusxml","qcml","mzquantml","peakml","nmrml","massbank","smiles","inchi","inchikey","sdf","mol","smi","pdb","mmcif","cif","fasta","fastq","bam","vcf","genbank","gff","csv","tsv","json","xlsx","hdf5","h5ad","graphml","gml","isa-tab","blib","newick","onnx"},LOWER(Q9))))),1,0)</f>
        <v>0</v>
      </c>
      <c r="S9" s="17" t="s">
        <v>195</v>
      </c>
      <c r="T9" s="17" t="s">
        <v>196</v>
      </c>
      <c r="U9" s="17">
        <v>0</v>
      </c>
      <c r="V9" s="17" t="s">
        <v>197</v>
      </c>
      <c r="W9" s="17">
        <f t="shared" si="0"/>
        <v>1</v>
      </c>
      <c r="X9" s="17" t="s">
        <v>198</v>
      </c>
      <c r="Y9" s="17" t="s">
        <v>199</v>
      </c>
      <c r="Z9" s="17" t="s">
        <v>200</v>
      </c>
      <c r="AA9" s="17">
        <f t="shared" si="1"/>
        <v>1</v>
      </c>
      <c r="AB9" s="17" t="s">
        <v>201</v>
      </c>
      <c r="AC9" s="17">
        <f t="shared" si="2"/>
        <v>1</v>
      </c>
      <c r="AD9" s="17" t="s">
        <v>202</v>
      </c>
      <c r="AE9" s="17">
        <f t="shared" si="3"/>
        <v>0</v>
      </c>
      <c r="AF9" s="17" t="s">
        <v>203</v>
      </c>
      <c r="AG9" s="17" t="str">
        <f t="shared" si="4"/>
        <v>Methodological</v>
      </c>
      <c r="AH9" s="17" t="s">
        <v>204</v>
      </c>
      <c r="AI9" s="16">
        <f t="shared" si="5"/>
        <v>3</v>
      </c>
      <c r="AJ9" s="17"/>
    </row>
    <row r="10" spans="1:38" ht="250.1" customHeight="1" x14ac:dyDescent="0.5">
      <c r="A10" s="16">
        <v>9</v>
      </c>
      <c r="B10" s="17" t="s">
        <v>101</v>
      </c>
      <c r="C10" s="17" t="s">
        <v>205</v>
      </c>
      <c r="D10" s="17" t="s">
        <v>206</v>
      </c>
      <c r="E10" s="17" t="s">
        <v>207</v>
      </c>
      <c r="F10" s="17" t="s">
        <v>208</v>
      </c>
      <c r="G10" s="17" t="s">
        <v>209</v>
      </c>
      <c r="H10" s="17">
        <v>2012</v>
      </c>
      <c r="I10" s="17" t="s">
        <v>41</v>
      </c>
      <c r="J10" s="17" t="s">
        <v>210</v>
      </c>
      <c r="K10" s="17" t="s">
        <v>43</v>
      </c>
      <c r="L10" s="17">
        <v>4.4000000000000004</v>
      </c>
      <c r="M10" s="17">
        <v>188</v>
      </c>
      <c r="N10" s="17" t="s">
        <v>211</v>
      </c>
      <c r="O10" s="17" t="s">
        <v>212</v>
      </c>
      <c r="P10" s="17" t="s">
        <v>213</v>
      </c>
      <c r="Q10" s="17" t="s">
        <v>214</v>
      </c>
      <c r="R10" s="17" cm="1">
        <f t="array" ref="R10">IF(AND(OR(ISNUMBER(SEARCH({"mzml","mzxml","mztab","mztab-m","mgf","mzdata","peakml","traml","mzidentml","pepxml","protxml","imzml","nmrml","fid","cnx","smiles","inchi","inchikey","sdf","mol","mol2","xyz","smi","pdb","mmcif","cif","fasta","fastq","gtf","sam","bam","vcf","csv","tsv","json","hdf5","h5ad","msp","ms","isa-tab","biom"},LOWER(P10)))),OR(ISNUMBER(SEARCH({"mzml","mzxml","mztab","mztab-m","mgf","msp","pepxml","protxml","mzidentml","idxml","featurexml","consensusxml","qcml","mzquantml","peakml","nmrml","massbank","smiles","inchi","inchikey","sdf","mol","smi","pdb","mmcif","cif","fasta","fastq","bam","vcf","genbank","gff","csv","tsv","json","xlsx","hdf5","h5ad","graphml","gml","isa-tab","blib","newick","onnx"},LOWER(Q10))))),1,0)</f>
        <v>0</v>
      </c>
      <c r="S10" s="17" t="s">
        <v>215</v>
      </c>
      <c r="T10" s="17" t="s">
        <v>216</v>
      </c>
      <c r="U10" s="17">
        <v>1</v>
      </c>
      <c r="V10" s="17" t="s">
        <v>217</v>
      </c>
      <c r="W10" s="17">
        <f t="shared" si="0"/>
        <v>1</v>
      </c>
      <c r="X10" s="17" t="s">
        <v>218</v>
      </c>
      <c r="Y10" s="17" t="s">
        <v>219</v>
      </c>
      <c r="Z10" s="17" t="s">
        <v>160</v>
      </c>
      <c r="AA10" s="17">
        <f t="shared" si="1"/>
        <v>0</v>
      </c>
      <c r="AB10" s="17" t="s">
        <v>220</v>
      </c>
      <c r="AC10" s="17">
        <f t="shared" si="2"/>
        <v>0</v>
      </c>
      <c r="AD10" s="17" t="s">
        <v>221</v>
      </c>
      <c r="AE10" s="17">
        <f t="shared" si="3"/>
        <v>0</v>
      </c>
      <c r="AF10" s="17" t="s">
        <v>222</v>
      </c>
      <c r="AG10" s="17" t="str">
        <f t="shared" si="4"/>
        <v>Clinical and Health</v>
      </c>
      <c r="AH10" s="17" t="s">
        <v>223</v>
      </c>
      <c r="AI10" s="16">
        <f t="shared" si="5"/>
        <v>2</v>
      </c>
      <c r="AJ10" s="17"/>
    </row>
    <row r="11" spans="1:38" ht="250.1" customHeight="1" x14ac:dyDescent="0.5">
      <c r="A11" s="16">
        <v>10</v>
      </c>
      <c r="B11" s="17" t="s">
        <v>35</v>
      </c>
      <c r="C11" s="17" t="s">
        <v>224</v>
      </c>
      <c r="D11" s="17" t="s">
        <v>225</v>
      </c>
      <c r="E11" s="17" t="s">
        <v>226</v>
      </c>
      <c r="F11" s="17" t="s">
        <v>227</v>
      </c>
      <c r="G11" s="17" t="s">
        <v>228</v>
      </c>
      <c r="H11" s="17">
        <v>2018</v>
      </c>
      <c r="I11" s="17" t="s">
        <v>41</v>
      </c>
      <c r="J11" s="17" t="s">
        <v>229</v>
      </c>
      <c r="K11" s="17" t="s">
        <v>230</v>
      </c>
      <c r="L11" s="17">
        <v>9</v>
      </c>
      <c r="M11" s="17">
        <v>273</v>
      </c>
      <c r="N11" s="17" t="s">
        <v>231</v>
      </c>
      <c r="O11" s="17" t="s">
        <v>232</v>
      </c>
      <c r="P11" s="17" t="s">
        <v>233</v>
      </c>
      <c r="Q11" s="17" t="s">
        <v>234</v>
      </c>
      <c r="R11" s="17" cm="1">
        <f t="array" ref="R11">IF(AND(OR(ISNUMBER(SEARCH({"mzml","mzxml","mztab","mztab-m","mgf","mzdata","peakml","traml","mzidentml","pepxml","protxml","imzml","nmrml","fid","cnx","smiles","inchi","inchikey","sdf","mol","mol2","xyz","smi","pdb","mmcif","cif","fasta","fastq","gtf","sam","bam","vcf","csv","tsv","json","hdf5","h5ad","msp","ms","isa-tab","biom"},LOWER(P11)))),OR(ISNUMBER(SEARCH({"mzml","mzxml","mztab","mztab-m","mgf","msp","pepxml","protxml","mzidentml","idxml","featurexml","consensusxml","qcml","mzquantml","peakml","nmrml","massbank","smiles","inchi","inchikey","sdf","mol","smi","pdb","mmcif","cif","fasta","fastq","bam","vcf","genbank","gff","csv","tsv","json","xlsx","hdf5","h5ad","graphml","gml","isa-tab","blib","newick","onnx"},LOWER(Q11))))),1,0)</f>
        <v>0</v>
      </c>
      <c r="S11" s="17" t="s">
        <v>235</v>
      </c>
      <c r="T11" s="17" t="s">
        <v>236</v>
      </c>
      <c r="U11" s="17">
        <v>0</v>
      </c>
      <c r="V11" s="17" t="s">
        <v>237</v>
      </c>
      <c r="W11" s="17">
        <f t="shared" si="0"/>
        <v>1</v>
      </c>
      <c r="X11" s="17" t="s">
        <v>238</v>
      </c>
      <c r="Y11" s="17" t="s">
        <v>239</v>
      </c>
      <c r="Z11" s="17" t="s">
        <v>240</v>
      </c>
      <c r="AA11" s="17">
        <f t="shared" si="1"/>
        <v>1</v>
      </c>
      <c r="AB11" s="17" t="s">
        <v>241</v>
      </c>
      <c r="AC11" s="17">
        <f t="shared" si="2"/>
        <v>1</v>
      </c>
      <c r="AD11" s="17" t="s">
        <v>242</v>
      </c>
      <c r="AE11" s="17">
        <f t="shared" si="3"/>
        <v>0</v>
      </c>
      <c r="AF11" s="17" t="s">
        <v>243</v>
      </c>
      <c r="AG11" s="17" t="str">
        <f t="shared" si="4"/>
        <v>Methodological</v>
      </c>
      <c r="AH11" s="17" t="s">
        <v>244</v>
      </c>
      <c r="AI11" s="16">
        <f t="shared" si="5"/>
        <v>3</v>
      </c>
      <c r="AJ11" s="17"/>
    </row>
    <row r="12" spans="1:38" ht="250.1" customHeight="1" x14ac:dyDescent="0.5">
      <c r="A12" s="16">
        <v>11</v>
      </c>
      <c r="B12" s="17" t="s">
        <v>101</v>
      </c>
      <c r="C12" s="17" t="s">
        <v>245</v>
      </c>
      <c r="D12" s="17" t="s">
        <v>246</v>
      </c>
      <c r="E12" s="17" t="s">
        <v>247</v>
      </c>
      <c r="F12" s="17" t="s">
        <v>248</v>
      </c>
      <c r="G12" s="17" t="s">
        <v>249</v>
      </c>
      <c r="H12" s="17">
        <v>2021</v>
      </c>
      <c r="I12" s="17" t="s">
        <v>41</v>
      </c>
      <c r="J12" s="17" t="s">
        <v>250</v>
      </c>
      <c r="K12" s="17" t="s">
        <v>251</v>
      </c>
      <c r="L12" s="17" t="s">
        <v>252</v>
      </c>
      <c r="M12" s="17">
        <v>71</v>
      </c>
      <c r="N12" s="17" t="s">
        <v>253</v>
      </c>
      <c r="O12" s="17" t="s">
        <v>254</v>
      </c>
      <c r="P12" s="17" t="s">
        <v>255</v>
      </c>
      <c r="Q12" s="17" t="s">
        <v>256</v>
      </c>
      <c r="R12" s="17" cm="1">
        <f t="array" ref="R12">IF(AND(OR(ISNUMBER(SEARCH({"mzml","mzxml","mztab","mztab-m","mgf","mzdata","peakml","traml","mzidentml","pepxml","protxml","imzml","nmrml","fid","cnx","smiles","inchi","inchikey","sdf","mol","mol2","xyz","smi","pdb","mmcif","cif","fasta","fastq","gtf","sam","bam","vcf","csv","tsv","json","hdf5","h5ad","msp","ms","isa-tab","biom"},LOWER(P12)))),OR(ISNUMBER(SEARCH({"mzml","mzxml","mztab","mztab-m","mgf","msp","pepxml","protxml","mzidentml","idxml","featurexml","consensusxml","qcml","mzquantml","peakml","nmrml","massbank","smiles","inchi","inchikey","sdf","mol","smi","pdb","mmcif","cif","fasta","fastq","bam","vcf","genbank","gff","csv","tsv","json","xlsx","hdf5","h5ad","graphml","gml","isa-tab","blib","newick","onnx"},LOWER(Q12))))),1,0)</f>
        <v>1</v>
      </c>
      <c r="S12" s="17" t="s">
        <v>257</v>
      </c>
      <c r="T12" s="17" t="s">
        <v>258</v>
      </c>
      <c r="U12" s="17">
        <v>0</v>
      </c>
      <c r="V12" s="17" t="s">
        <v>259</v>
      </c>
      <c r="W12" s="17">
        <f t="shared" si="0"/>
        <v>1</v>
      </c>
      <c r="X12" s="17" t="s">
        <v>260</v>
      </c>
      <c r="Y12" s="17" t="s">
        <v>261</v>
      </c>
      <c r="Z12" s="17" t="s">
        <v>262</v>
      </c>
      <c r="AA12" s="17">
        <f t="shared" si="1"/>
        <v>1</v>
      </c>
      <c r="AB12" s="17" t="s">
        <v>263</v>
      </c>
      <c r="AC12" s="17">
        <f t="shared" si="2"/>
        <v>1</v>
      </c>
      <c r="AD12" s="17" t="s">
        <v>264</v>
      </c>
      <c r="AE12" s="17">
        <f t="shared" si="3"/>
        <v>0</v>
      </c>
      <c r="AF12" s="17" t="s">
        <v>265</v>
      </c>
      <c r="AG12" s="17" t="str">
        <f t="shared" si="4"/>
        <v>Clinical and Health</v>
      </c>
      <c r="AH12" s="17" t="s">
        <v>266</v>
      </c>
      <c r="AI12" s="16">
        <f t="shared" si="5"/>
        <v>4</v>
      </c>
      <c r="AJ12" s="17"/>
    </row>
    <row r="13" spans="1:38" ht="250.1" customHeight="1" x14ac:dyDescent="0.5">
      <c r="A13" s="16">
        <v>12</v>
      </c>
      <c r="B13" s="17" t="s">
        <v>79</v>
      </c>
      <c r="C13" s="17" t="s">
        <v>267</v>
      </c>
      <c r="D13" s="17" t="s">
        <v>268</v>
      </c>
      <c r="E13" s="17" t="s">
        <v>269</v>
      </c>
      <c r="F13" s="17" t="s">
        <v>270</v>
      </c>
      <c r="G13" s="17" t="s">
        <v>271</v>
      </c>
      <c r="H13" s="17">
        <v>2012</v>
      </c>
      <c r="I13" s="17" t="s">
        <v>41</v>
      </c>
      <c r="J13" s="17" t="s">
        <v>272</v>
      </c>
      <c r="K13" s="17" t="s">
        <v>273</v>
      </c>
      <c r="L13" s="17">
        <v>6.7</v>
      </c>
      <c r="M13" s="17">
        <v>1151</v>
      </c>
      <c r="N13" s="17" t="s">
        <v>274</v>
      </c>
      <c r="O13" s="17" t="s">
        <v>275</v>
      </c>
      <c r="P13" s="17" t="s">
        <v>276</v>
      </c>
      <c r="Q13" s="17" t="s">
        <v>277</v>
      </c>
      <c r="R13" s="17" cm="1">
        <f t="array" ref="R13">IF(AND(OR(ISNUMBER(SEARCH({"mzml","mzxml","mztab","mztab-m","mgf","mzdata","peakml","traml","mzidentml","pepxml","protxml","imzml","nmrml","fid","cnx","smiles","inchi","inchikey","sdf","mol","mol2","xyz","smi","pdb","mmcif","cif","fasta","fastq","gtf","sam","bam","vcf","csv","tsv","json","hdf5","h5ad","msp","ms","isa-tab","biom"},LOWER(P13)))),OR(ISNUMBER(SEARCH({"mzml","mzxml","mztab","mztab-m","mgf","msp","pepxml","protxml","mzidentml","idxml","featurexml","consensusxml","qcml","mzquantml","peakml","nmrml","massbank","smiles","inchi","inchikey","sdf","mol","smi","pdb","mmcif","cif","fasta","fastq","bam","vcf","genbank","gff","csv","tsv","json","xlsx","hdf5","h5ad","graphml","gml","isa-tab","blib","newick","onnx"},LOWER(Q13))))),1,0)</f>
        <v>1</v>
      </c>
      <c r="S13" s="17" t="s">
        <v>278</v>
      </c>
      <c r="T13" s="17" t="s">
        <v>279</v>
      </c>
      <c r="U13" s="17">
        <v>1</v>
      </c>
      <c r="V13" s="17" t="s">
        <v>280</v>
      </c>
      <c r="W13" s="17">
        <f t="shared" si="0"/>
        <v>1</v>
      </c>
      <c r="X13" s="17" t="s">
        <v>281</v>
      </c>
      <c r="Y13" s="17" t="s">
        <v>282</v>
      </c>
      <c r="Z13" s="17" t="s">
        <v>283</v>
      </c>
      <c r="AA13" s="17">
        <f t="shared" si="1"/>
        <v>1</v>
      </c>
      <c r="AB13" s="17" t="s">
        <v>284</v>
      </c>
      <c r="AC13" s="17">
        <f t="shared" si="2"/>
        <v>0</v>
      </c>
      <c r="AD13" s="17" t="s">
        <v>285</v>
      </c>
      <c r="AE13" s="17">
        <f t="shared" si="3"/>
        <v>1</v>
      </c>
      <c r="AF13" s="17" t="s">
        <v>286</v>
      </c>
      <c r="AG13" s="17" t="str">
        <f t="shared" si="4"/>
        <v>Methodological</v>
      </c>
      <c r="AH13" s="17" t="s">
        <v>287</v>
      </c>
      <c r="AI13" s="16">
        <f t="shared" si="5"/>
        <v>5</v>
      </c>
      <c r="AJ13" s="17"/>
    </row>
    <row r="14" spans="1:38" ht="250.1" customHeight="1" x14ac:dyDescent="0.5">
      <c r="A14" s="16">
        <v>13</v>
      </c>
      <c r="B14" s="17" t="s">
        <v>101</v>
      </c>
      <c r="C14" s="17" t="s">
        <v>288</v>
      </c>
      <c r="D14" s="17" t="s">
        <v>289</v>
      </c>
      <c r="E14" s="17" t="s">
        <v>290</v>
      </c>
      <c r="F14" s="17" t="s">
        <v>291</v>
      </c>
      <c r="G14" s="17" t="s">
        <v>292</v>
      </c>
      <c r="H14" s="17">
        <v>2015</v>
      </c>
      <c r="I14" s="17" t="s">
        <v>293</v>
      </c>
      <c r="J14" s="17" t="s">
        <v>294</v>
      </c>
      <c r="K14" s="17" t="s">
        <v>295</v>
      </c>
      <c r="L14" s="17" t="s">
        <v>252</v>
      </c>
      <c r="M14" s="17">
        <v>24</v>
      </c>
      <c r="N14" s="17" t="s">
        <v>296</v>
      </c>
      <c r="O14" s="17" t="s">
        <v>297</v>
      </c>
      <c r="P14" s="17" t="s">
        <v>298</v>
      </c>
      <c r="Q14" s="17" t="s">
        <v>299</v>
      </c>
      <c r="R14" s="17" cm="1">
        <f t="array" ref="R14">IF(AND(OR(ISNUMBER(SEARCH({"mzml","mzxml","mztab","mztab-m","mgf","mzdata","peakml","traml","mzidentml","pepxml","protxml","imzml","nmrml","fid","cnx","smiles","inchi","inchikey","sdf","mol","mol2","xyz","smi","pdb","mmcif","cif","fasta","fastq","gtf","sam","bam","vcf","csv","tsv","json","hdf5","h5ad","msp","ms","isa-tab","biom"},LOWER(P14)))),OR(ISNUMBER(SEARCH({"mzml","mzxml","mztab","mztab-m","mgf","msp","pepxml","protxml","mzidentml","idxml","featurexml","consensusxml","qcml","mzquantml","peakml","nmrml","massbank","smiles","inchi","inchikey","sdf","mol","smi","pdb","mmcif","cif","fasta","fastq","bam","vcf","genbank","gff","csv","tsv","json","xlsx","hdf5","h5ad","graphml","gml","isa-tab","blib","newick","onnx"},LOWER(Q14))))),1,0)</f>
        <v>0</v>
      </c>
      <c r="S14" s="17" t="s">
        <v>300</v>
      </c>
      <c r="T14" s="17" t="s">
        <v>301</v>
      </c>
      <c r="U14" s="17">
        <v>1</v>
      </c>
      <c r="V14" s="17" t="s">
        <v>302</v>
      </c>
      <c r="W14" s="17">
        <f t="shared" si="0"/>
        <v>0</v>
      </c>
      <c r="X14" s="17" t="s">
        <v>303</v>
      </c>
      <c r="Y14" s="17" t="s">
        <v>304</v>
      </c>
      <c r="Z14" s="17" t="s">
        <v>305</v>
      </c>
      <c r="AA14" s="17">
        <f t="shared" si="1"/>
        <v>1</v>
      </c>
      <c r="AB14" s="17" t="s">
        <v>306</v>
      </c>
      <c r="AC14" s="17">
        <f t="shared" si="2"/>
        <v>1</v>
      </c>
      <c r="AD14" s="17" t="s">
        <v>307</v>
      </c>
      <c r="AE14" s="17">
        <f t="shared" si="3"/>
        <v>1</v>
      </c>
      <c r="AF14" s="17" t="s">
        <v>308</v>
      </c>
      <c r="AG14" s="17" t="str">
        <f t="shared" si="4"/>
        <v>Methodological</v>
      </c>
      <c r="AH14" s="17" t="s">
        <v>309</v>
      </c>
      <c r="AI14" s="16">
        <f t="shared" si="5"/>
        <v>4</v>
      </c>
      <c r="AJ14" s="17"/>
    </row>
    <row r="15" spans="1:38" ht="250.1" customHeight="1" x14ac:dyDescent="0.5">
      <c r="A15" s="16">
        <v>14</v>
      </c>
      <c r="B15" s="17" t="s">
        <v>35</v>
      </c>
      <c r="C15" s="17" t="s">
        <v>310</v>
      </c>
      <c r="D15" s="17" t="s">
        <v>311</v>
      </c>
      <c r="E15" s="17" t="s">
        <v>312</v>
      </c>
      <c r="F15" s="17" t="s">
        <v>313</v>
      </c>
      <c r="G15" s="17" t="s">
        <v>314</v>
      </c>
      <c r="H15" s="17">
        <v>2024</v>
      </c>
      <c r="I15" s="17" t="s">
        <v>41</v>
      </c>
      <c r="J15" s="17" t="s">
        <v>315</v>
      </c>
      <c r="K15" s="17" t="s">
        <v>64</v>
      </c>
      <c r="L15" s="17">
        <v>5.6</v>
      </c>
      <c r="M15" s="17">
        <v>115</v>
      </c>
      <c r="N15" s="17" t="s">
        <v>316</v>
      </c>
      <c r="O15" s="17" t="s">
        <v>317</v>
      </c>
      <c r="P15" s="17" t="s">
        <v>318</v>
      </c>
      <c r="Q15" s="17" t="s">
        <v>319</v>
      </c>
      <c r="R15" s="17" cm="1">
        <f t="array" ref="R15">IF(AND(OR(ISNUMBER(SEARCH({"mzml","mzxml","mztab","mztab-m","mgf","mzdata","peakml","traml","mzidentml","pepxml","protxml","imzml","nmrml","fid","cnx","smiles","inchi","inchikey","sdf","mol","mol2","xyz","smi","pdb","mmcif","cif","fasta","fastq","gtf","sam","bam","vcf","csv","tsv","json","hdf5","h5ad","msp","ms","isa-tab","biom"},LOWER(P15)))),OR(ISNUMBER(SEARCH({"mzml","mzxml","mztab","mztab-m","mgf","msp","pepxml","protxml","mzidentml","idxml","featurexml","consensusxml","qcml","mzquantml","peakml","nmrml","massbank","smiles","inchi","inchikey","sdf","mol","smi","pdb","mmcif","cif","fasta","fastq","bam","vcf","genbank","gff","csv","tsv","json","xlsx","hdf5","h5ad","graphml","gml","isa-tab","blib","newick","onnx"},LOWER(Q15))))),1,0)</f>
        <v>1</v>
      </c>
      <c r="S15" s="17" t="s">
        <v>320</v>
      </c>
      <c r="T15" s="17" t="s">
        <v>321</v>
      </c>
      <c r="U15" s="17">
        <v>1</v>
      </c>
      <c r="V15" s="17" t="s">
        <v>322</v>
      </c>
      <c r="W15" s="17">
        <f t="shared" si="0"/>
        <v>0</v>
      </c>
      <c r="X15" s="17" t="s">
        <v>323</v>
      </c>
      <c r="Y15" s="17" t="s">
        <v>321</v>
      </c>
      <c r="Z15" s="17" t="s">
        <v>324</v>
      </c>
      <c r="AA15" s="17">
        <f t="shared" si="1"/>
        <v>1</v>
      </c>
      <c r="AB15" s="17" t="s">
        <v>325</v>
      </c>
      <c r="AC15" s="17">
        <f t="shared" si="2"/>
        <v>1</v>
      </c>
      <c r="AD15" s="17" t="s">
        <v>326</v>
      </c>
      <c r="AE15" s="17">
        <f t="shared" si="3"/>
        <v>1</v>
      </c>
      <c r="AF15" s="17" t="s">
        <v>327</v>
      </c>
      <c r="AG15" s="17" t="str">
        <f t="shared" si="4"/>
        <v>Drug Discovery</v>
      </c>
      <c r="AH15" s="17" t="s">
        <v>328</v>
      </c>
      <c r="AI15" s="16">
        <f t="shared" si="5"/>
        <v>5</v>
      </c>
      <c r="AJ15" s="17"/>
    </row>
    <row r="16" spans="1:38" ht="250.1" customHeight="1" x14ac:dyDescent="0.5">
      <c r="A16" s="16">
        <v>15</v>
      </c>
      <c r="B16" s="17" t="s">
        <v>101</v>
      </c>
      <c r="C16" s="17" t="s">
        <v>329</v>
      </c>
      <c r="D16" s="17" t="s">
        <v>330</v>
      </c>
      <c r="E16" s="17" t="s">
        <v>331</v>
      </c>
      <c r="F16" s="17" t="s">
        <v>332</v>
      </c>
      <c r="G16" s="17" t="s">
        <v>333</v>
      </c>
      <c r="H16" s="17">
        <v>2017</v>
      </c>
      <c r="I16" s="17" t="s">
        <v>41</v>
      </c>
      <c r="J16" s="17" t="s">
        <v>334</v>
      </c>
      <c r="K16" s="17" t="s">
        <v>335</v>
      </c>
      <c r="L16" s="17">
        <v>7.4</v>
      </c>
      <c r="M16" s="17">
        <v>278</v>
      </c>
      <c r="N16" s="17" t="s">
        <v>336</v>
      </c>
      <c r="O16" s="17" t="s">
        <v>337</v>
      </c>
      <c r="P16" s="17" t="s">
        <v>338</v>
      </c>
      <c r="Q16" s="17" t="s">
        <v>339</v>
      </c>
      <c r="R16" s="17" cm="1">
        <f t="array" ref="R16">IF(AND(OR(ISNUMBER(SEARCH({"mzml","mzxml","mztab","mztab-m","mgf","mzdata","peakml","traml","mzidentml","pepxml","protxml","imzml","nmrml","fid","cnx","smiles","inchi","inchikey","sdf","mol","mol2","xyz","smi","pdb","mmcif","cif","fasta","fastq","gtf","sam","bam","vcf","csv","tsv","json","hdf5","h5ad","msp","ms","isa-tab","biom"},LOWER(P16)))),OR(ISNUMBER(SEARCH({"mzml","mzxml","mztab","mztab-m","mgf","msp","pepxml","protxml","mzidentml","idxml","featurexml","consensusxml","qcml","mzquantml","peakml","nmrml","massbank","smiles","inchi","inchikey","sdf","mol","smi","pdb","mmcif","cif","fasta","fastq","bam","vcf","genbank","gff","csv","tsv","json","xlsx","hdf5","h5ad","graphml","gml","isa-tab","blib","newick","onnx"},LOWER(Q16))))),1,0)</f>
        <v>1</v>
      </c>
      <c r="S16" s="17" t="s">
        <v>340</v>
      </c>
      <c r="T16" s="17" t="s">
        <v>341</v>
      </c>
      <c r="U16" s="17">
        <v>0</v>
      </c>
      <c r="V16" s="17" t="s">
        <v>342</v>
      </c>
      <c r="W16" s="17">
        <f t="shared" si="0"/>
        <v>1</v>
      </c>
      <c r="X16" s="17" t="s">
        <v>51</v>
      </c>
      <c r="Y16" s="17" t="s">
        <v>343</v>
      </c>
      <c r="Z16" s="17" t="s">
        <v>160</v>
      </c>
      <c r="AA16" s="17">
        <f t="shared" si="1"/>
        <v>0</v>
      </c>
      <c r="AB16" s="17" t="s">
        <v>344</v>
      </c>
      <c r="AC16" s="17">
        <f t="shared" si="2"/>
        <v>1</v>
      </c>
      <c r="AD16" s="17" t="s">
        <v>345</v>
      </c>
      <c r="AE16" s="17">
        <f t="shared" si="3"/>
        <v>1</v>
      </c>
      <c r="AF16" s="17" t="s">
        <v>346</v>
      </c>
      <c r="AG16" s="17" t="str">
        <f t="shared" si="4"/>
        <v>Drug Discovery</v>
      </c>
      <c r="AH16" s="17" t="s">
        <v>347</v>
      </c>
      <c r="AI16" s="16">
        <f t="shared" si="5"/>
        <v>4</v>
      </c>
      <c r="AJ16" s="17"/>
    </row>
    <row r="17" spans="1:38" ht="250.1" customHeight="1" x14ac:dyDescent="0.5">
      <c r="A17" s="16">
        <v>16</v>
      </c>
      <c r="B17" s="17" t="s">
        <v>101</v>
      </c>
      <c r="C17" s="17" t="s">
        <v>348</v>
      </c>
      <c r="D17" s="17" t="s">
        <v>349</v>
      </c>
      <c r="E17" s="17" t="s">
        <v>350</v>
      </c>
      <c r="F17" s="17" t="s">
        <v>351</v>
      </c>
      <c r="G17" s="17" t="s">
        <v>352</v>
      </c>
      <c r="H17" s="17">
        <v>2010</v>
      </c>
      <c r="I17" s="17" t="s">
        <v>353</v>
      </c>
      <c r="J17" s="17" t="s">
        <v>354</v>
      </c>
      <c r="K17" s="17" t="s">
        <v>355</v>
      </c>
      <c r="L17" s="17">
        <v>3.9</v>
      </c>
      <c r="M17" s="17">
        <v>8</v>
      </c>
      <c r="N17" s="17" t="s">
        <v>356</v>
      </c>
      <c r="O17" s="17" t="s">
        <v>357</v>
      </c>
      <c r="P17" s="17" t="s">
        <v>358</v>
      </c>
      <c r="Q17" s="17" t="s">
        <v>359</v>
      </c>
      <c r="R17" s="17" cm="1">
        <f t="array" ref="R17">IF(AND(OR(ISNUMBER(SEARCH({"mzml","mzxml","mztab","mztab-m","mgf","mzdata","peakml","traml","mzidentml","pepxml","protxml","imzml","nmrml","fid","cnx","smiles","inchi","inchikey","sdf","mol","mol2","xyz","smi","pdb","mmcif","cif","fasta","fastq","gtf","sam","bam","vcf","csv","tsv","json","hdf5","h5ad","msp","ms","isa-tab","biom"},LOWER(P17)))),OR(ISNUMBER(SEARCH({"mzml","mzxml","mztab","mztab-m","mgf","msp","pepxml","protxml","mzidentml","idxml","featurexml","consensusxml","qcml","mzquantml","peakml","nmrml","massbank","smiles","inchi","inchikey","sdf","mol","smi","pdb","mmcif","cif","fasta","fastq","bam","vcf","genbank","gff","csv","tsv","json","xlsx","hdf5","h5ad","graphml","gml","isa-tab","blib","newick","onnx"},LOWER(Q17))))),1,0)</f>
        <v>0</v>
      </c>
      <c r="S17" s="17" t="s">
        <v>321</v>
      </c>
      <c r="T17" s="17" t="s">
        <v>160</v>
      </c>
      <c r="U17" s="17">
        <v>1</v>
      </c>
      <c r="V17" s="17" t="s">
        <v>160</v>
      </c>
      <c r="W17" s="17">
        <f t="shared" si="0"/>
        <v>0</v>
      </c>
      <c r="X17" s="17" t="s">
        <v>360</v>
      </c>
      <c r="Y17" s="17" t="s">
        <v>160</v>
      </c>
      <c r="Z17" s="17" t="s">
        <v>160</v>
      </c>
      <c r="AA17" s="17">
        <f t="shared" si="1"/>
        <v>0</v>
      </c>
      <c r="AB17" s="17" t="s">
        <v>160</v>
      </c>
      <c r="AC17" s="17">
        <f t="shared" si="2"/>
        <v>0</v>
      </c>
      <c r="AD17" s="17" t="s">
        <v>361</v>
      </c>
      <c r="AE17" s="17">
        <f t="shared" si="3"/>
        <v>0</v>
      </c>
      <c r="AF17" s="17" t="s">
        <v>362</v>
      </c>
      <c r="AG17" s="17" t="str">
        <f t="shared" si="4"/>
        <v>Clinical and Health</v>
      </c>
      <c r="AH17" s="17" t="s">
        <v>363</v>
      </c>
      <c r="AI17" s="16">
        <f t="shared" si="5"/>
        <v>1</v>
      </c>
      <c r="AJ17" s="17"/>
    </row>
    <row r="18" spans="1:38" ht="250.1" customHeight="1" x14ac:dyDescent="0.5">
      <c r="A18" s="16">
        <v>17</v>
      </c>
      <c r="B18" s="17" t="s">
        <v>101</v>
      </c>
      <c r="C18" s="17" t="s">
        <v>364</v>
      </c>
      <c r="D18" s="17" t="s">
        <v>365</v>
      </c>
      <c r="E18" s="17" t="s">
        <v>366</v>
      </c>
      <c r="F18" s="17" t="s">
        <v>367</v>
      </c>
      <c r="G18" s="17" t="s">
        <v>368</v>
      </c>
      <c r="H18" s="17">
        <v>2023</v>
      </c>
      <c r="I18" s="17" t="s">
        <v>41</v>
      </c>
      <c r="J18" s="17" t="s">
        <v>369</v>
      </c>
      <c r="K18" s="17" t="s">
        <v>370</v>
      </c>
      <c r="L18" s="17">
        <v>3.8</v>
      </c>
      <c r="M18" s="17">
        <v>2</v>
      </c>
      <c r="N18" s="17" t="s">
        <v>371</v>
      </c>
      <c r="O18" s="17" t="s">
        <v>372</v>
      </c>
      <c r="P18" s="17" t="s">
        <v>373</v>
      </c>
      <c r="Q18" s="17" t="s">
        <v>374</v>
      </c>
      <c r="R18" s="17" cm="1">
        <f t="array" ref="R18">IF(AND(OR(ISNUMBER(SEARCH({"mzml","mzxml","mztab","mztab-m","mgf","mzdata","peakml","traml","mzidentml","pepxml","protxml","imzml","nmrml","fid","cnx","smiles","inchi","inchikey","sdf","mol","mol2","xyz","smi","pdb","mmcif","cif","fasta","fastq","gtf","sam","bam","vcf","csv","tsv","json","hdf5","h5ad","msp","ms","isa-tab","biom"},LOWER(P18)))),OR(ISNUMBER(SEARCH({"mzml","mzxml","mztab","mztab-m","mgf","msp","pepxml","protxml","mzidentml","idxml","featurexml","consensusxml","qcml","mzquantml","peakml","nmrml","massbank","smiles","inchi","inchikey","sdf","mol","smi","pdb","mmcif","cif","fasta","fastq","bam","vcf","genbank","gff","csv","tsv","json","xlsx","hdf5","h5ad","graphml","gml","isa-tab","blib","newick","onnx"},LOWER(Q18))))),1,0)</f>
        <v>1</v>
      </c>
      <c r="S18" s="17" t="s">
        <v>375</v>
      </c>
      <c r="T18" s="17" t="s">
        <v>376</v>
      </c>
      <c r="U18" s="17">
        <v>1</v>
      </c>
      <c r="V18" s="17" t="s">
        <v>377</v>
      </c>
      <c r="W18" s="17">
        <f t="shared" si="0"/>
        <v>1</v>
      </c>
      <c r="X18" s="17" t="s">
        <v>378</v>
      </c>
      <c r="Y18" s="17" t="s">
        <v>379</v>
      </c>
      <c r="Z18" s="17" t="s">
        <v>380</v>
      </c>
      <c r="AA18" s="17">
        <f t="shared" si="1"/>
        <v>1</v>
      </c>
      <c r="AB18" s="17" t="s">
        <v>381</v>
      </c>
      <c r="AC18" s="17">
        <f t="shared" si="2"/>
        <v>1</v>
      </c>
      <c r="AD18" s="17" t="s">
        <v>382</v>
      </c>
      <c r="AE18" s="17">
        <f t="shared" si="3"/>
        <v>1</v>
      </c>
      <c r="AF18" s="17" t="s">
        <v>383</v>
      </c>
      <c r="AG18" s="17" t="str">
        <f t="shared" si="4"/>
        <v>Methodological</v>
      </c>
      <c r="AH18" s="17" t="s">
        <v>384</v>
      </c>
      <c r="AI18" s="16">
        <f t="shared" si="5"/>
        <v>6</v>
      </c>
      <c r="AJ18" s="17"/>
    </row>
    <row r="19" spans="1:38" ht="250.1" customHeight="1" x14ac:dyDescent="0.5">
      <c r="A19" s="16">
        <v>18</v>
      </c>
      <c r="B19" s="17" t="s">
        <v>35</v>
      </c>
      <c r="C19" s="17" t="s">
        <v>385</v>
      </c>
      <c r="D19" s="17" t="s">
        <v>386</v>
      </c>
      <c r="E19" s="17" t="s">
        <v>387</v>
      </c>
      <c r="F19" s="17" t="s">
        <v>388</v>
      </c>
      <c r="G19" s="17" t="s">
        <v>389</v>
      </c>
      <c r="H19" s="17">
        <v>2020</v>
      </c>
      <c r="I19" s="17" t="s">
        <v>390</v>
      </c>
      <c r="J19" s="17" t="s">
        <v>391</v>
      </c>
      <c r="K19" s="17" t="s">
        <v>392</v>
      </c>
      <c r="L19" s="17">
        <v>3.8</v>
      </c>
      <c r="M19" s="17">
        <v>15</v>
      </c>
      <c r="N19" s="17" t="s">
        <v>393</v>
      </c>
      <c r="O19" s="17" t="s">
        <v>394</v>
      </c>
      <c r="P19" s="17" t="s">
        <v>395</v>
      </c>
      <c r="Q19" s="17" t="s">
        <v>396</v>
      </c>
      <c r="R19" s="17" cm="1">
        <f t="array" ref="R19">IF(AND(OR(ISNUMBER(SEARCH({"mzml","mzxml","mztab","mztab-m","mgf","mzdata","peakml","traml","mzidentml","pepxml","protxml","imzml","nmrml","fid","cnx","smiles","inchi","inchikey","sdf","mol","mol2","xyz","smi","pdb","mmcif","cif","fasta","fastq","gtf","sam","bam","vcf","csv","tsv","json","hdf5","h5ad","msp","ms","isa-tab","biom"},LOWER(P19)))),OR(ISNUMBER(SEARCH({"mzml","mzxml","mztab","mztab-m","mgf","msp","pepxml","protxml","mzidentml","idxml","featurexml","consensusxml","qcml","mzquantml","peakml","nmrml","massbank","smiles","inchi","inchikey","sdf","mol","smi","pdb","mmcif","cif","fasta","fastq","bam","vcf","genbank","gff","csv","tsv","json","xlsx","hdf5","h5ad","graphml","gml","isa-tab","blib","newick","onnx"},LOWER(Q19))))),1,0)</f>
        <v>0</v>
      </c>
      <c r="S19" s="17" t="s">
        <v>397</v>
      </c>
      <c r="T19" s="17" t="s">
        <v>398</v>
      </c>
      <c r="U19" s="17">
        <v>1</v>
      </c>
      <c r="V19" s="17" t="s">
        <v>399</v>
      </c>
      <c r="W19" s="17">
        <f t="shared" si="0"/>
        <v>0</v>
      </c>
      <c r="X19" s="17" t="s">
        <v>160</v>
      </c>
      <c r="Y19" s="17" t="s">
        <v>400</v>
      </c>
      <c r="Z19" s="17" t="s">
        <v>401</v>
      </c>
      <c r="AA19" s="17">
        <f t="shared" si="1"/>
        <v>1</v>
      </c>
      <c r="AB19" s="17" t="s">
        <v>401</v>
      </c>
      <c r="AC19" s="17">
        <f t="shared" si="2"/>
        <v>1</v>
      </c>
      <c r="AD19" s="17" t="s">
        <v>402</v>
      </c>
      <c r="AE19" s="17">
        <f t="shared" si="3"/>
        <v>0</v>
      </c>
      <c r="AF19" s="17" t="s">
        <v>403</v>
      </c>
      <c r="AG19" s="17" t="str">
        <f t="shared" si="4"/>
        <v>Methodological</v>
      </c>
      <c r="AH19" s="17" t="s">
        <v>404</v>
      </c>
      <c r="AI19" s="16">
        <f t="shared" si="5"/>
        <v>3</v>
      </c>
      <c r="AJ19" s="17"/>
    </row>
    <row r="20" spans="1:38" ht="250.1" customHeight="1" x14ac:dyDescent="0.5">
      <c r="A20" s="16">
        <v>19</v>
      </c>
      <c r="B20" s="17" t="s">
        <v>35</v>
      </c>
      <c r="C20" s="17" t="s">
        <v>405</v>
      </c>
      <c r="D20" s="17" t="s">
        <v>406</v>
      </c>
      <c r="E20" s="17" t="s">
        <v>407</v>
      </c>
      <c r="F20" s="17" t="s">
        <v>408</v>
      </c>
      <c r="G20" s="17" t="s">
        <v>409</v>
      </c>
      <c r="H20" s="17">
        <v>2024</v>
      </c>
      <c r="I20" s="17" t="s">
        <v>41</v>
      </c>
      <c r="J20" s="17" t="s">
        <v>410</v>
      </c>
      <c r="K20" s="17" t="s">
        <v>411</v>
      </c>
      <c r="L20" s="17" t="s">
        <v>252</v>
      </c>
      <c r="M20" s="17">
        <v>0</v>
      </c>
      <c r="N20" s="17" t="s">
        <v>412</v>
      </c>
      <c r="O20" s="17" t="s">
        <v>413</v>
      </c>
      <c r="P20" s="17" t="s">
        <v>414</v>
      </c>
      <c r="Q20" s="17" t="s">
        <v>415</v>
      </c>
      <c r="R20" s="17" cm="1">
        <f t="array" ref="R20">IF(AND(OR(ISNUMBER(SEARCH({"mzml","mzxml","mztab","mztab-m","mgf","mzdata","peakml","traml","mzidentml","pepxml","protxml","imzml","nmrml","fid","cnx","smiles","inchi","inchikey","sdf","mol","mol2","xyz","smi","pdb","mmcif","cif","fasta","fastq","gtf","sam","bam","vcf","csv","tsv","json","hdf5","h5ad","msp","ms","isa-tab","biom"},LOWER(P20)))),OR(ISNUMBER(SEARCH({"mzml","mzxml","mztab","mztab-m","mgf","msp","pepxml","protxml","mzidentml","idxml","featurexml","consensusxml","qcml","mzquantml","peakml","nmrml","massbank","smiles","inchi","inchikey","sdf","mol","smi","pdb","mmcif","cif","fasta","fastq","bam","vcf","genbank","gff","csv","tsv","json","xlsx","hdf5","h5ad","graphml","gml","isa-tab","blib","newick","onnx"},LOWER(Q20))))),1,0)</f>
        <v>1</v>
      </c>
      <c r="S20" s="17" t="s">
        <v>416</v>
      </c>
      <c r="T20" s="17" t="s">
        <v>417</v>
      </c>
      <c r="U20" s="17">
        <v>0</v>
      </c>
      <c r="V20" s="17" t="s">
        <v>418</v>
      </c>
      <c r="W20" s="17">
        <f t="shared" si="0"/>
        <v>1</v>
      </c>
      <c r="X20" s="17" t="s">
        <v>419</v>
      </c>
      <c r="Y20" s="17" t="s">
        <v>420</v>
      </c>
      <c r="Z20" s="17" t="s">
        <v>421</v>
      </c>
      <c r="AA20" s="17">
        <f t="shared" si="1"/>
        <v>1</v>
      </c>
      <c r="AB20" s="17" t="s">
        <v>422</v>
      </c>
      <c r="AC20" s="17">
        <f t="shared" si="2"/>
        <v>1</v>
      </c>
      <c r="AD20" s="17" t="s">
        <v>423</v>
      </c>
      <c r="AE20" s="17">
        <f t="shared" si="3"/>
        <v>1</v>
      </c>
      <c r="AF20" s="17" t="s">
        <v>424</v>
      </c>
      <c r="AG20" s="17" t="str">
        <f t="shared" si="4"/>
        <v>Drug Discovery</v>
      </c>
      <c r="AH20" s="17" t="s">
        <v>425</v>
      </c>
      <c r="AI20" s="16">
        <f t="shared" si="5"/>
        <v>5</v>
      </c>
      <c r="AJ20" s="17"/>
    </row>
    <row r="21" spans="1:38" ht="250.1" customHeight="1" x14ac:dyDescent="0.5">
      <c r="A21" s="16">
        <v>20</v>
      </c>
      <c r="B21" s="17" t="s">
        <v>35</v>
      </c>
      <c r="C21" s="17" t="s">
        <v>426</v>
      </c>
      <c r="D21" s="17" t="s">
        <v>427</v>
      </c>
      <c r="E21" s="17" t="s">
        <v>428</v>
      </c>
      <c r="F21" s="17" t="s">
        <v>429</v>
      </c>
      <c r="G21" s="17" t="s">
        <v>430</v>
      </c>
      <c r="H21" s="17">
        <v>2024</v>
      </c>
      <c r="I21" s="17" t="s">
        <v>41</v>
      </c>
      <c r="J21" s="17" t="s">
        <v>431</v>
      </c>
      <c r="K21" s="17" t="s">
        <v>432</v>
      </c>
      <c r="L21" s="17">
        <v>14.7</v>
      </c>
      <c r="M21" s="17">
        <v>1</v>
      </c>
      <c r="N21" s="17" t="s">
        <v>433</v>
      </c>
      <c r="O21" s="17" t="s">
        <v>434</v>
      </c>
      <c r="P21" s="17" t="s">
        <v>435</v>
      </c>
      <c r="Q21" s="17" t="s">
        <v>436</v>
      </c>
      <c r="R21" s="17" cm="1">
        <f t="array" ref="R21">IF(AND(OR(ISNUMBER(SEARCH({"mzml","mzxml","mztab","mztab-m","mgf","mzdata","peakml","traml","mzidentml","pepxml","protxml","imzml","nmrml","fid","cnx","smiles","inchi","inchikey","sdf","mol","mol2","xyz","smi","pdb","mmcif","cif","fasta","fastq","gtf","sam","bam","vcf","csv","tsv","json","hdf5","h5ad","msp","ms","isa-tab","biom"},LOWER(P21)))),OR(ISNUMBER(SEARCH({"mzml","mzxml","mztab","mztab-m","mgf","msp","pepxml","protxml","mzidentml","idxml","featurexml","consensusxml","qcml","mzquantml","peakml","nmrml","massbank","smiles","inchi","inchikey","sdf","mol","smi","pdb","mmcif","cif","fasta","fastq","bam","vcf","genbank","gff","csv","tsv","json","xlsx","hdf5","h5ad","graphml","gml","isa-tab","blib","newick","onnx"},LOWER(Q21))))),1,0)</f>
        <v>0</v>
      </c>
      <c r="S21" s="17" t="s">
        <v>437</v>
      </c>
      <c r="T21" s="17" t="s">
        <v>438</v>
      </c>
      <c r="U21" s="17">
        <v>1</v>
      </c>
      <c r="V21" s="17" t="s">
        <v>439</v>
      </c>
      <c r="W21" s="17">
        <f t="shared" si="0"/>
        <v>1</v>
      </c>
      <c r="X21" s="17" t="s">
        <v>440</v>
      </c>
      <c r="Y21" s="17" t="s">
        <v>441</v>
      </c>
      <c r="Z21" s="17" t="s">
        <v>442</v>
      </c>
      <c r="AA21" s="17">
        <f t="shared" si="1"/>
        <v>1</v>
      </c>
      <c r="AB21" s="17" t="s">
        <v>443</v>
      </c>
      <c r="AC21" s="17">
        <f t="shared" si="2"/>
        <v>1</v>
      </c>
      <c r="AD21" s="17" t="s">
        <v>444</v>
      </c>
      <c r="AE21" s="17">
        <f t="shared" si="3"/>
        <v>0</v>
      </c>
      <c r="AF21" s="17" t="s">
        <v>445</v>
      </c>
      <c r="AG21" s="17" t="str">
        <f t="shared" si="4"/>
        <v>Clinical and Health</v>
      </c>
      <c r="AH21" s="17" t="s">
        <v>446</v>
      </c>
      <c r="AI21" s="16">
        <f t="shared" si="5"/>
        <v>4</v>
      </c>
      <c r="AJ21" s="17"/>
    </row>
    <row r="22" spans="1:38" ht="250.1" customHeight="1" x14ac:dyDescent="0.5">
      <c r="A22" s="16">
        <v>21</v>
      </c>
      <c r="B22" s="17" t="s">
        <v>79</v>
      </c>
      <c r="C22" s="17" t="s">
        <v>447</v>
      </c>
      <c r="D22" s="17" t="s">
        <v>448</v>
      </c>
      <c r="E22" s="17" t="s">
        <v>449</v>
      </c>
      <c r="F22" s="17" t="s">
        <v>450</v>
      </c>
      <c r="G22" s="17" t="s">
        <v>451</v>
      </c>
      <c r="H22" s="17">
        <v>2022</v>
      </c>
      <c r="I22" s="17" t="s">
        <v>41</v>
      </c>
      <c r="J22" s="17" t="s">
        <v>452</v>
      </c>
      <c r="K22" s="17" t="s">
        <v>273</v>
      </c>
      <c r="L22" s="17">
        <v>6.7</v>
      </c>
      <c r="M22" s="17">
        <v>27</v>
      </c>
      <c r="N22" s="17" t="s">
        <v>453</v>
      </c>
      <c r="O22" s="17" t="s">
        <v>454</v>
      </c>
      <c r="P22" s="17" t="s">
        <v>455</v>
      </c>
      <c r="Q22" s="17" t="s">
        <v>456</v>
      </c>
      <c r="R22" s="17" cm="1">
        <f t="array" ref="R22">IF(AND(OR(ISNUMBER(SEARCH({"mzml","mzxml","mztab","mztab-m","mgf","mzdata","peakml","traml","mzidentml","pepxml","protxml","imzml","nmrml","fid","cnx","smiles","inchi","inchikey","sdf","mol","mol2","xyz","smi","pdb","mmcif","cif","fasta","fastq","gtf","sam","bam","vcf","csv","tsv","json","hdf5","h5ad","msp","ms","isa-tab","biom"},LOWER(P22)))),OR(ISNUMBER(SEARCH({"mzml","mzxml","mztab","mztab-m","mgf","msp","pepxml","protxml","mzidentml","idxml","featurexml","consensusxml","qcml","mzquantml","peakml","nmrml","massbank","smiles","inchi","inchikey","sdf","mol","smi","pdb","mmcif","cif","fasta","fastq","bam","vcf","genbank","gff","csv","tsv","json","xlsx","hdf5","h5ad","graphml","gml","isa-tab","blib","newick","onnx"},LOWER(Q22))))),1,0)</f>
        <v>1</v>
      </c>
      <c r="S22" s="17" t="s">
        <v>457</v>
      </c>
      <c r="T22" s="17" t="s">
        <v>458</v>
      </c>
      <c r="U22" s="17">
        <v>1</v>
      </c>
      <c r="V22" s="17" t="s">
        <v>459</v>
      </c>
      <c r="W22" s="17">
        <f t="shared" si="0"/>
        <v>1</v>
      </c>
      <c r="X22" s="17" t="s">
        <v>460</v>
      </c>
      <c r="Y22" s="17" t="s">
        <v>461</v>
      </c>
      <c r="Z22" s="17" t="s">
        <v>462</v>
      </c>
      <c r="AA22" s="17">
        <f t="shared" si="1"/>
        <v>1</v>
      </c>
      <c r="AB22" s="17" t="s">
        <v>463</v>
      </c>
      <c r="AC22" s="17">
        <f t="shared" si="2"/>
        <v>1</v>
      </c>
      <c r="AD22" s="17" t="s">
        <v>464</v>
      </c>
      <c r="AE22" s="17">
        <f t="shared" si="3"/>
        <v>1</v>
      </c>
      <c r="AF22" s="17" t="s">
        <v>465</v>
      </c>
      <c r="AG22" s="17" t="str">
        <f t="shared" si="4"/>
        <v>Methodological</v>
      </c>
      <c r="AH22" s="17" t="s">
        <v>466</v>
      </c>
      <c r="AI22" s="16">
        <f t="shared" si="5"/>
        <v>6</v>
      </c>
      <c r="AJ22" s="17"/>
    </row>
    <row r="23" spans="1:38" ht="250.1" customHeight="1" x14ac:dyDescent="0.5">
      <c r="A23" s="16">
        <v>22</v>
      </c>
      <c r="B23" s="17" t="s">
        <v>35</v>
      </c>
      <c r="C23" s="17" t="s">
        <v>467</v>
      </c>
      <c r="D23" s="17" t="s">
        <v>468</v>
      </c>
      <c r="E23" s="17" t="s">
        <v>469</v>
      </c>
      <c r="F23" s="17" t="s">
        <v>470</v>
      </c>
      <c r="G23" s="17" t="s">
        <v>471</v>
      </c>
      <c r="H23" s="17">
        <v>2023</v>
      </c>
      <c r="I23" s="17" t="s">
        <v>353</v>
      </c>
      <c r="J23" s="17" t="s">
        <v>472</v>
      </c>
      <c r="K23" s="17" t="s">
        <v>473</v>
      </c>
      <c r="L23" s="17" t="s">
        <v>474</v>
      </c>
      <c r="M23" s="17">
        <v>149</v>
      </c>
      <c r="N23" s="17" t="s">
        <v>475</v>
      </c>
      <c r="O23" s="17" t="s">
        <v>476</v>
      </c>
      <c r="P23" s="17" t="s">
        <v>477</v>
      </c>
      <c r="Q23" s="17" t="s">
        <v>478</v>
      </c>
      <c r="R23" s="17" cm="1">
        <f t="array" ref="R23">IF(AND(OR(ISNUMBER(SEARCH({"mzml","mzxml","mztab","mztab-m","mgf","mzdata","peakml","traml","mzidentml","pepxml","protxml","imzml","nmrml","fid","cnx","smiles","inchi","inchikey","sdf","mol","mol2","xyz","smi","pdb","mmcif","cif","fasta","fastq","gtf","sam","bam","vcf","csv","tsv","json","hdf5","h5ad","msp","ms","isa-tab","biom"},LOWER(P23)))),OR(ISNUMBER(SEARCH({"mzml","mzxml","mztab","mztab-m","mgf","msp","pepxml","protxml","mzidentml","idxml","featurexml","consensusxml","qcml","mzquantml","peakml","nmrml","massbank","smiles","inchi","inchikey","sdf","mol","smi","pdb","mmcif","cif","fasta","fastq","bam","vcf","genbank","gff","csv","tsv","json","xlsx","hdf5","h5ad","graphml","gml","isa-tab","blib","newick","onnx"},LOWER(Q23))))),1,0)</f>
        <v>1</v>
      </c>
      <c r="S23" s="17" t="s">
        <v>479</v>
      </c>
      <c r="T23" s="17" t="s">
        <v>480</v>
      </c>
      <c r="U23" s="17">
        <v>0</v>
      </c>
      <c r="V23" s="17" t="s">
        <v>481</v>
      </c>
      <c r="W23" s="17">
        <f t="shared" si="0"/>
        <v>1</v>
      </c>
      <c r="X23" s="17" t="s">
        <v>482</v>
      </c>
      <c r="Y23" s="17" t="s">
        <v>483</v>
      </c>
      <c r="Z23" s="17" t="s">
        <v>484</v>
      </c>
      <c r="AA23" s="17">
        <f t="shared" si="1"/>
        <v>1</v>
      </c>
      <c r="AB23" s="17" t="s">
        <v>484</v>
      </c>
      <c r="AC23" s="17">
        <f t="shared" si="2"/>
        <v>1</v>
      </c>
      <c r="AD23" s="17" t="s">
        <v>485</v>
      </c>
      <c r="AE23" s="17">
        <f t="shared" si="3"/>
        <v>0</v>
      </c>
      <c r="AF23" s="17" t="s">
        <v>486</v>
      </c>
      <c r="AG23" s="17" t="str">
        <f t="shared" si="4"/>
        <v>Drug Discovery</v>
      </c>
      <c r="AH23" s="17" t="s">
        <v>487</v>
      </c>
      <c r="AI23" s="16">
        <f t="shared" si="5"/>
        <v>4</v>
      </c>
      <c r="AJ23" s="17"/>
    </row>
    <row r="24" spans="1:38" ht="250.1" customHeight="1" x14ac:dyDescent="0.5">
      <c r="A24" s="16">
        <v>23</v>
      </c>
      <c r="B24" s="17" t="s">
        <v>101</v>
      </c>
      <c r="C24" s="17" t="s">
        <v>488</v>
      </c>
      <c r="D24" s="17" t="s">
        <v>489</v>
      </c>
      <c r="E24" s="17" t="s">
        <v>490</v>
      </c>
      <c r="F24" s="17" t="s">
        <v>491</v>
      </c>
      <c r="G24" s="17" t="s">
        <v>492</v>
      </c>
      <c r="H24" s="17">
        <v>2019</v>
      </c>
      <c r="I24" s="17" t="s">
        <v>148</v>
      </c>
      <c r="J24" s="17" t="s">
        <v>493</v>
      </c>
      <c r="K24" s="17" t="s">
        <v>494</v>
      </c>
      <c r="L24" s="17">
        <v>5.6</v>
      </c>
      <c r="M24" s="17">
        <v>123</v>
      </c>
      <c r="N24" s="17" t="s">
        <v>495</v>
      </c>
      <c r="O24" s="17" t="s">
        <v>496</v>
      </c>
      <c r="P24" s="17" t="s">
        <v>497</v>
      </c>
      <c r="Q24" s="17" t="s">
        <v>498</v>
      </c>
      <c r="R24" s="17" cm="1">
        <f t="array" ref="R24">IF(AND(OR(ISNUMBER(SEARCH({"mzml","mzxml","mztab","mztab-m","mgf","mzdata","peakml","traml","mzidentml","pepxml","protxml","imzml","nmrml","fid","cnx","smiles","inchi","inchikey","sdf","mol","mol2","xyz","smi","pdb","mmcif","cif","fasta","fastq","gtf","sam","bam","vcf","csv","tsv","json","hdf5","h5ad","msp","ms","isa-tab","biom"},LOWER(P24)))),OR(ISNUMBER(SEARCH({"mzml","mzxml","mztab","mztab-m","mgf","msp","pepxml","protxml","mzidentml","idxml","featurexml","consensusxml","qcml","mzquantml","peakml","nmrml","massbank","smiles","inchi","inchikey","sdf","mol","smi","pdb","mmcif","cif","fasta","fastq","bam","vcf","genbank","gff","csv","tsv","json","xlsx","hdf5","h5ad","graphml","gml","isa-tab","blib","newick","onnx"},LOWER(Q24))))),1,0)</f>
        <v>1</v>
      </c>
      <c r="S24" s="17" t="s">
        <v>499</v>
      </c>
      <c r="T24" s="17" t="s">
        <v>500</v>
      </c>
      <c r="U24" s="17">
        <v>1</v>
      </c>
      <c r="V24" s="17" t="s">
        <v>501</v>
      </c>
      <c r="W24" s="17">
        <f t="shared" si="0"/>
        <v>0</v>
      </c>
      <c r="X24" s="17" t="s">
        <v>502</v>
      </c>
      <c r="Y24" s="17" t="s">
        <v>503</v>
      </c>
      <c r="Z24" s="17" t="s">
        <v>160</v>
      </c>
      <c r="AA24" s="17">
        <f t="shared" si="1"/>
        <v>0</v>
      </c>
      <c r="AB24" s="17" t="s">
        <v>504</v>
      </c>
      <c r="AC24" s="17">
        <f t="shared" si="2"/>
        <v>1</v>
      </c>
      <c r="AD24" s="17" t="s">
        <v>505</v>
      </c>
      <c r="AE24" s="17">
        <f t="shared" si="3"/>
        <v>0</v>
      </c>
      <c r="AF24" s="17" t="s">
        <v>506</v>
      </c>
      <c r="AG24" s="17" t="str">
        <f t="shared" si="4"/>
        <v>Clinical and Health</v>
      </c>
      <c r="AH24" s="17" t="s">
        <v>507</v>
      </c>
      <c r="AI24" s="16">
        <f t="shared" si="5"/>
        <v>3</v>
      </c>
      <c r="AJ24" s="17"/>
    </row>
    <row r="25" spans="1:38" ht="250.1" customHeight="1" x14ac:dyDescent="0.5">
      <c r="A25" s="16">
        <v>24</v>
      </c>
      <c r="B25" s="17" t="s">
        <v>79</v>
      </c>
      <c r="C25" s="17" t="s">
        <v>508</v>
      </c>
      <c r="D25" s="17" t="s">
        <v>509</v>
      </c>
      <c r="E25" s="17" t="s">
        <v>510</v>
      </c>
      <c r="F25" s="17" t="s">
        <v>511</v>
      </c>
      <c r="G25" s="17" t="s">
        <v>512</v>
      </c>
      <c r="H25" s="17">
        <v>2020</v>
      </c>
      <c r="I25" s="17" t="s">
        <v>148</v>
      </c>
      <c r="J25" s="17" t="s">
        <v>513</v>
      </c>
      <c r="K25" s="17" t="s">
        <v>514</v>
      </c>
      <c r="L25" s="17">
        <v>63.1</v>
      </c>
      <c r="M25" s="17">
        <v>956</v>
      </c>
      <c r="N25" s="17" t="s">
        <v>515</v>
      </c>
      <c r="O25" s="17" t="s">
        <v>516</v>
      </c>
      <c r="P25" s="17" t="s">
        <v>517</v>
      </c>
      <c r="Q25" s="17" t="s">
        <v>518</v>
      </c>
      <c r="R25" s="17" cm="1">
        <f t="array" ref="R25">IF(AND(OR(ISNUMBER(SEARCH({"mzml","mzxml","mztab","mztab-m","mgf","mzdata","peakml","traml","mzidentml","pepxml","protxml","imzml","nmrml","fid","cnx","smiles","inchi","inchikey","sdf","mol","mol2","xyz","smi","pdb","mmcif","cif","fasta","fastq","gtf","sam","bam","vcf","csv","tsv","json","hdf5","h5ad","msp","ms","isa-tab","biom"},LOWER(P25)))),OR(ISNUMBER(SEARCH({"mzml","mzxml","mztab","mztab-m","mgf","msp","pepxml","protxml","mzidentml","idxml","featurexml","consensusxml","qcml","mzquantml","peakml","nmrml","massbank","smiles","inchi","inchikey","sdf","mol","smi","pdb","mmcif","cif","fasta","fastq","bam","vcf","genbank","gff","csv","tsv","json","xlsx","hdf5","h5ad","graphml","gml","isa-tab","blib","newick","onnx"},LOWER(Q25))))),1,0)</f>
        <v>1</v>
      </c>
      <c r="S25" s="17" t="s">
        <v>519</v>
      </c>
      <c r="T25" s="17" t="s">
        <v>520</v>
      </c>
      <c r="U25" s="17">
        <v>1</v>
      </c>
      <c r="V25" s="17" t="s">
        <v>521</v>
      </c>
      <c r="W25" s="17">
        <f t="shared" si="0"/>
        <v>1</v>
      </c>
      <c r="X25" s="17" t="s">
        <v>522</v>
      </c>
      <c r="Y25" s="17" t="s">
        <v>523</v>
      </c>
      <c r="Z25" s="17" t="s">
        <v>524</v>
      </c>
      <c r="AA25" s="17">
        <f t="shared" si="1"/>
        <v>1</v>
      </c>
      <c r="AB25" s="17" t="s">
        <v>525</v>
      </c>
      <c r="AC25" s="17">
        <f t="shared" si="2"/>
        <v>1</v>
      </c>
      <c r="AD25" s="17" t="s">
        <v>526</v>
      </c>
      <c r="AE25" s="17">
        <f t="shared" si="3"/>
        <v>0</v>
      </c>
      <c r="AF25" s="17" t="s">
        <v>527</v>
      </c>
      <c r="AG25" s="17" t="str">
        <f t="shared" si="4"/>
        <v>Methodological</v>
      </c>
      <c r="AH25" s="17" t="s">
        <v>528</v>
      </c>
      <c r="AI25" s="21">
        <f t="shared" si="5"/>
        <v>5</v>
      </c>
      <c r="AJ25" s="17"/>
      <c r="AK25" s="20"/>
      <c r="AL25" s="20"/>
    </row>
    <row r="26" spans="1:38" ht="250.1" customHeight="1" x14ac:dyDescent="0.5">
      <c r="A26" s="16">
        <v>25</v>
      </c>
      <c r="B26" s="17" t="s">
        <v>101</v>
      </c>
      <c r="C26" s="17" t="s">
        <v>529</v>
      </c>
      <c r="D26" s="17" t="s">
        <v>530</v>
      </c>
      <c r="E26" s="17" t="s">
        <v>531</v>
      </c>
      <c r="F26" s="17" t="s">
        <v>532</v>
      </c>
      <c r="G26" s="17" t="s">
        <v>533</v>
      </c>
      <c r="H26" s="17">
        <v>2025</v>
      </c>
      <c r="I26" s="17" t="s">
        <v>534</v>
      </c>
      <c r="J26" s="17" t="s">
        <v>535</v>
      </c>
      <c r="K26" s="17" t="s">
        <v>432</v>
      </c>
      <c r="L26" s="17">
        <v>14.7</v>
      </c>
      <c r="M26" s="17">
        <v>10</v>
      </c>
      <c r="N26" s="17" t="s">
        <v>536</v>
      </c>
      <c r="O26" s="17" t="s">
        <v>537</v>
      </c>
      <c r="P26" s="17" t="s">
        <v>538</v>
      </c>
      <c r="Q26" s="17" t="s">
        <v>539</v>
      </c>
      <c r="R26" s="17" cm="1">
        <f t="array" ref="R26">IF(AND(OR(ISNUMBER(SEARCH({"mzml","mzxml","mztab","mztab-m","mgf","mzdata","peakml","traml","mzidentml","pepxml","protxml","imzml","nmrml","fid","cnx","smiles","inchi","inchikey","sdf","mol","mol2","xyz","smi","pdb","mmcif","cif","fasta","fastq","gtf","sam","bam","vcf","csv","tsv","json","hdf5","h5ad","msp","ms","isa-tab","biom"},LOWER(P26)))),OR(ISNUMBER(SEARCH({"mzml","mzxml","mztab","mztab-m","mgf","msp","pepxml","protxml","mzidentml","idxml","featurexml","consensusxml","qcml","mzquantml","peakml","nmrml","massbank","smiles","inchi","inchikey","sdf","mol","smi","pdb","mmcif","cif","fasta","fastq","bam","vcf","genbank","gff","csv","tsv","json","xlsx","hdf5","h5ad","graphml","gml","isa-tab","blib","newick","onnx"},LOWER(Q26))))),1,0)</f>
        <v>0</v>
      </c>
      <c r="S26" s="17" t="s">
        <v>540</v>
      </c>
      <c r="T26" s="17" t="s">
        <v>541</v>
      </c>
      <c r="U26" s="17">
        <v>0</v>
      </c>
      <c r="V26" s="17" t="s">
        <v>542</v>
      </c>
      <c r="W26" s="17">
        <f t="shared" si="0"/>
        <v>1</v>
      </c>
      <c r="X26" s="17" t="s">
        <v>543</v>
      </c>
      <c r="Y26" s="17" t="s">
        <v>544</v>
      </c>
      <c r="Z26" s="17" t="s">
        <v>545</v>
      </c>
      <c r="AA26" s="17">
        <f t="shared" si="1"/>
        <v>1</v>
      </c>
      <c r="AB26" s="17" t="s">
        <v>546</v>
      </c>
      <c r="AC26" s="17">
        <f t="shared" si="2"/>
        <v>1</v>
      </c>
      <c r="AD26" s="17" t="s">
        <v>547</v>
      </c>
      <c r="AE26" s="17">
        <f t="shared" si="3"/>
        <v>0</v>
      </c>
      <c r="AF26" s="17" t="s">
        <v>548</v>
      </c>
      <c r="AG26" s="17" t="str">
        <f t="shared" si="4"/>
        <v>Clinical and Health</v>
      </c>
      <c r="AH26" s="17" t="s">
        <v>549</v>
      </c>
      <c r="AI26" s="16">
        <f t="shared" si="5"/>
        <v>3</v>
      </c>
      <c r="AJ26" s="17"/>
      <c r="AK26" s="22"/>
      <c r="AL26" s="22"/>
    </row>
    <row r="27" spans="1:38" ht="250.1" customHeight="1" x14ac:dyDescent="0.5">
      <c r="A27" s="16">
        <v>26</v>
      </c>
      <c r="B27" s="17" t="s">
        <v>35</v>
      </c>
      <c r="C27" s="17" t="s">
        <v>550</v>
      </c>
      <c r="D27" s="17" t="s">
        <v>551</v>
      </c>
      <c r="E27" s="17" t="s">
        <v>552</v>
      </c>
      <c r="F27" s="17" t="s">
        <v>553</v>
      </c>
      <c r="G27" s="17" t="s">
        <v>554</v>
      </c>
      <c r="H27" s="17">
        <v>2023</v>
      </c>
      <c r="I27" s="17" t="s">
        <v>41</v>
      </c>
      <c r="J27" s="17" t="s">
        <v>555</v>
      </c>
      <c r="K27" s="17" t="s">
        <v>411</v>
      </c>
      <c r="L27" s="17" t="s">
        <v>252</v>
      </c>
      <c r="M27" s="17">
        <v>1</v>
      </c>
      <c r="N27" s="17" t="s">
        <v>556</v>
      </c>
      <c r="O27" s="17" t="s">
        <v>557</v>
      </c>
      <c r="P27" s="17" t="s">
        <v>558</v>
      </c>
      <c r="Q27" s="17" t="s">
        <v>559</v>
      </c>
      <c r="R27" s="17" cm="1">
        <f t="array" ref="R27">IF(AND(OR(ISNUMBER(SEARCH({"mzml","mzxml","mztab","mztab-m","mgf","mzdata","peakml","traml","mzidentml","pepxml","protxml","imzml","nmrml","fid","cnx","smiles","inchi","inchikey","sdf","mol","mol2","xyz","smi","pdb","mmcif","cif","fasta","fastq","gtf","sam","bam","vcf","csv","tsv","json","hdf5","h5ad","msp","ms","isa-tab","biom"},LOWER(P27)))),OR(ISNUMBER(SEARCH({"mzml","mzxml","mztab","mztab-m","mgf","msp","pepxml","protxml","mzidentml","idxml","featurexml","consensusxml","qcml","mzquantml","peakml","nmrml","massbank","smiles","inchi","inchikey","sdf","mol","smi","pdb","mmcif","cif","fasta","fastq","bam","vcf","genbank","gff","csv","tsv","json","xlsx","hdf5","h5ad","graphml","gml","isa-tab","blib","newick","onnx"},LOWER(Q27))))),1,0)</f>
        <v>1</v>
      </c>
      <c r="S27" s="17" t="s">
        <v>560</v>
      </c>
      <c r="T27" s="17" t="s">
        <v>321</v>
      </c>
      <c r="U27" s="17">
        <v>0</v>
      </c>
      <c r="V27" s="17" t="s">
        <v>561</v>
      </c>
      <c r="W27" s="17">
        <f t="shared" si="0"/>
        <v>1</v>
      </c>
      <c r="X27" s="17" t="s">
        <v>562</v>
      </c>
      <c r="Y27" s="17" t="s">
        <v>321</v>
      </c>
      <c r="Z27" s="17" t="s">
        <v>563</v>
      </c>
      <c r="AA27" s="17">
        <f t="shared" si="1"/>
        <v>1</v>
      </c>
      <c r="AB27" s="17" t="s">
        <v>564</v>
      </c>
      <c r="AC27" s="17">
        <f t="shared" si="2"/>
        <v>1</v>
      </c>
      <c r="AD27" s="17" t="s">
        <v>565</v>
      </c>
      <c r="AE27" s="17">
        <f t="shared" si="3"/>
        <v>1</v>
      </c>
      <c r="AF27" s="17" t="s">
        <v>566</v>
      </c>
      <c r="AG27" s="17" t="str">
        <f t="shared" si="4"/>
        <v>Methodological</v>
      </c>
      <c r="AH27" s="17" t="s">
        <v>567</v>
      </c>
      <c r="AI27" s="16">
        <f t="shared" si="5"/>
        <v>5</v>
      </c>
      <c r="AJ27" s="17"/>
    </row>
    <row r="28" spans="1:38" ht="250.1" customHeight="1" x14ac:dyDescent="0.5">
      <c r="A28" s="16">
        <v>27</v>
      </c>
      <c r="B28" s="17" t="s">
        <v>35</v>
      </c>
      <c r="C28" s="17" t="s">
        <v>568</v>
      </c>
      <c r="D28" s="17" t="s">
        <v>569</v>
      </c>
      <c r="E28" s="17" t="s">
        <v>570</v>
      </c>
      <c r="F28" s="17" t="s">
        <v>571</v>
      </c>
      <c r="G28" s="17" t="s">
        <v>572</v>
      </c>
      <c r="H28" s="17">
        <v>2023</v>
      </c>
      <c r="I28" s="17" t="s">
        <v>41</v>
      </c>
      <c r="J28" s="17" t="s">
        <v>573</v>
      </c>
      <c r="K28" s="17" t="s">
        <v>574</v>
      </c>
      <c r="L28" s="17">
        <v>16.600000000000001</v>
      </c>
      <c r="M28" s="17">
        <v>2</v>
      </c>
      <c r="N28" s="17" t="s">
        <v>575</v>
      </c>
      <c r="O28" s="17" t="s">
        <v>576</v>
      </c>
      <c r="P28" s="17" t="s">
        <v>577</v>
      </c>
      <c r="Q28" s="17" t="s">
        <v>578</v>
      </c>
      <c r="R28" s="17" cm="1">
        <f t="array" ref="R28">IF(AND(OR(ISNUMBER(SEARCH({"mzml","mzxml","mztab","mztab-m","mgf","mzdata","peakml","traml","mzidentml","pepxml","protxml","imzml","nmrml","fid","cnx","smiles","inchi","inchikey","sdf","mol","mol2","xyz","smi","pdb","mmcif","cif","fasta","fastq","gtf","sam","bam","vcf","csv","tsv","json","hdf5","h5ad","msp","ms","isa-tab","biom"},LOWER(P28)))),OR(ISNUMBER(SEARCH({"mzml","mzxml","mztab","mztab-m","mgf","msp","pepxml","protxml","mzidentml","idxml","featurexml","consensusxml","qcml","mzquantml","peakml","nmrml","massbank","smiles","inchi","inchikey","sdf","mol","smi","pdb","mmcif","cif","fasta","fastq","bam","vcf","genbank","gff","csv","tsv","json","xlsx","hdf5","h5ad","graphml","gml","isa-tab","blib","newick","onnx"},LOWER(Q28))))),1,0)</f>
        <v>1</v>
      </c>
      <c r="S28" s="17" t="s">
        <v>579</v>
      </c>
      <c r="T28" s="17" t="s">
        <v>580</v>
      </c>
      <c r="U28" s="17">
        <v>1</v>
      </c>
      <c r="V28" s="17" t="s">
        <v>581</v>
      </c>
      <c r="W28" s="17">
        <f t="shared" si="0"/>
        <v>1</v>
      </c>
      <c r="X28" s="17" t="s">
        <v>582</v>
      </c>
      <c r="Y28" s="17" t="s">
        <v>583</v>
      </c>
      <c r="Z28" s="17" t="s">
        <v>584</v>
      </c>
      <c r="AA28" s="17">
        <f t="shared" si="1"/>
        <v>1</v>
      </c>
      <c r="AB28" s="17" t="s">
        <v>585</v>
      </c>
      <c r="AC28" s="17">
        <f t="shared" si="2"/>
        <v>1</v>
      </c>
      <c r="AD28" s="17" t="s">
        <v>586</v>
      </c>
      <c r="AE28" s="17">
        <f t="shared" si="3"/>
        <v>0</v>
      </c>
      <c r="AF28" s="17" t="s">
        <v>587</v>
      </c>
      <c r="AG28" s="17" t="str">
        <f t="shared" si="4"/>
        <v>Clinical and Health</v>
      </c>
      <c r="AH28" s="17" t="s">
        <v>588</v>
      </c>
      <c r="AI28" s="16">
        <f t="shared" si="5"/>
        <v>5</v>
      </c>
      <c r="AJ28" s="17"/>
    </row>
    <row r="29" spans="1:38" ht="250.1" customHeight="1" x14ac:dyDescent="0.5">
      <c r="A29" s="16">
        <v>28</v>
      </c>
      <c r="B29" s="17" t="s">
        <v>101</v>
      </c>
      <c r="C29" s="17" t="s">
        <v>589</v>
      </c>
      <c r="D29" s="17" t="s">
        <v>590</v>
      </c>
      <c r="E29" s="17" t="s">
        <v>591</v>
      </c>
      <c r="F29" s="17" t="s">
        <v>592</v>
      </c>
      <c r="G29" s="17" t="s">
        <v>593</v>
      </c>
      <c r="H29" s="17">
        <v>2016</v>
      </c>
      <c r="I29" s="17" t="s">
        <v>148</v>
      </c>
      <c r="J29" s="17" t="s">
        <v>594</v>
      </c>
      <c r="K29" s="17" t="s">
        <v>108</v>
      </c>
      <c r="L29" s="17">
        <v>2.9</v>
      </c>
      <c r="M29" s="17">
        <v>92</v>
      </c>
      <c r="N29" s="17" t="s">
        <v>595</v>
      </c>
      <c r="O29" s="17" t="s">
        <v>596</v>
      </c>
      <c r="P29" s="17" t="s">
        <v>597</v>
      </c>
      <c r="Q29" s="17" t="s">
        <v>598</v>
      </c>
      <c r="R29" s="17" cm="1">
        <f t="array" ref="R29">IF(AND(OR(ISNUMBER(SEARCH({"mzml","mzxml","mztab","mztab-m","mgf","mzdata","peakml","traml","mzidentml","pepxml","protxml","imzml","nmrml","fid","cnx","smiles","inchi","inchikey","sdf","mol","mol2","xyz","smi","pdb","mmcif","cif","fasta","fastq","gtf","sam","bam","vcf","csv","tsv","json","hdf5","h5ad","msp","ms","isa-tab","biom"},LOWER(P29)))),OR(ISNUMBER(SEARCH({"mzml","mzxml","mztab","mztab-m","mgf","msp","pepxml","protxml","mzidentml","idxml","featurexml","consensusxml","qcml","mzquantml","peakml","nmrml","massbank","smiles","inchi","inchikey","sdf","mol","smi","pdb","mmcif","cif","fasta","fastq","bam","vcf","genbank","gff","csv","tsv","json","xlsx","hdf5","h5ad","graphml","gml","isa-tab","blib","newick","onnx"},LOWER(Q29))))),1,0)</f>
        <v>0</v>
      </c>
      <c r="S29" s="17" t="s">
        <v>599</v>
      </c>
      <c r="T29" s="17" t="s">
        <v>160</v>
      </c>
      <c r="U29" s="17">
        <v>1</v>
      </c>
      <c r="V29" s="17" t="s">
        <v>160</v>
      </c>
      <c r="W29" s="17">
        <f t="shared" si="0"/>
        <v>0</v>
      </c>
      <c r="X29" s="17" t="s">
        <v>600</v>
      </c>
      <c r="Y29" s="17" t="s">
        <v>601</v>
      </c>
      <c r="Z29" s="17" t="s">
        <v>602</v>
      </c>
      <c r="AA29" s="17">
        <f t="shared" si="1"/>
        <v>1</v>
      </c>
      <c r="AB29" s="17" t="s">
        <v>603</v>
      </c>
      <c r="AC29" s="17">
        <f t="shared" si="2"/>
        <v>1</v>
      </c>
      <c r="AD29" s="17" t="s">
        <v>604</v>
      </c>
      <c r="AE29" s="17">
        <f t="shared" si="3"/>
        <v>0</v>
      </c>
      <c r="AF29" s="17" t="s">
        <v>605</v>
      </c>
      <c r="AG29" s="17" t="str">
        <f t="shared" si="4"/>
        <v>Methodological</v>
      </c>
      <c r="AH29" s="17" t="s">
        <v>606</v>
      </c>
      <c r="AI29" s="16">
        <f t="shared" si="5"/>
        <v>3</v>
      </c>
      <c r="AJ29" s="17"/>
    </row>
    <row r="30" spans="1:38" ht="250.1" customHeight="1" x14ac:dyDescent="0.5">
      <c r="A30" s="16">
        <v>29</v>
      </c>
      <c r="B30" s="17" t="s">
        <v>101</v>
      </c>
      <c r="C30" s="17" t="s">
        <v>607</v>
      </c>
      <c r="D30" s="17" t="s">
        <v>608</v>
      </c>
      <c r="E30" s="17" t="s">
        <v>609</v>
      </c>
      <c r="F30" s="17" t="s">
        <v>610</v>
      </c>
      <c r="G30" s="17" t="s">
        <v>611</v>
      </c>
      <c r="H30" s="17">
        <v>2024</v>
      </c>
      <c r="I30" s="17" t="s">
        <v>612</v>
      </c>
      <c r="J30" s="17" t="s">
        <v>613</v>
      </c>
      <c r="K30" s="17" t="s">
        <v>574</v>
      </c>
      <c r="L30" s="17">
        <v>16.600000000000001</v>
      </c>
      <c r="M30" s="17">
        <v>165</v>
      </c>
      <c r="N30" s="17" t="s">
        <v>614</v>
      </c>
      <c r="O30" s="17" t="s">
        <v>615</v>
      </c>
      <c r="P30" s="17" t="s">
        <v>616</v>
      </c>
      <c r="Q30" s="17" t="s">
        <v>617</v>
      </c>
      <c r="R30" s="17" cm="1">
        <f t="array" ref="R30">IF(AND(OR(ISNUMBER(SEARCH({"mzml","mzxml","mztab","mztab-m","mgf","mzdata","peakml","traml","mzidentml","pepxml","protxml","imzml","nmrml","fid","cnx","smiles","inchi","inchikey","sdf","mol","mol2","xyz","smi","pdb","mmcif","cif","fasta","fastq","gtf","sam","bam","vcf","csv","tsv","json","hdf5","h5ad","msp","ms","isa-tab","biom"},LOWER(P30)))),OR(ISNUMBER(SEARCH({"mzml","mzxml","mztab","mztab-m","mgf","msp","pepxml","protxml","mzidentml","idxml","featurexml","consensusxml","qcml","mzquantml","peakml","nmrml","massbank","smiles","inchi","inchikey","sdf","mol","smi","pdb","mmcif","cif","fasta","fastq","bam","vcf","genbank","gff","csv","tsv","json","xlsx","hdf5","h5ad","graphml","gml","isa-tab","blib","newick","onnx"},LOWER(Q30))))),1,0)</f>
        <v>0</v>
      </c>
      <c r="S30" s="17" t="s">
        <v>618</v>
      </c>
      <c r="T30" s="17" t="s">
        <v>160</v>
      </c>
      <c r="U30" s="17">
        <v>0</v>
      </c>
      <c r="V30" s="17" t="s">
        <v>619</v>
      </c>
      <c r="W30" s="17">
        <f t="shared" si="0"/>
        <v>0</v>
      </c>
      <c r="X30" s="17" t="s">
        <v>620</v>
      </c>
      <c r="Y30" s="17" t="s">
        <v>621</v>
      </c>
      <c r="Z30" s="17" t="s">
        <v>622</v>
      </c>
      <c r="AA30" s="17">
        <f t="shared" si="1"/>
        <v>1</v>
      </c>
      <c r="AB30" s="17" t="s">
        <v>623</v>
      </c>
      <c r="AC30" s="17">
        <f t="shared" si="2"/>
        <v>1</v>
      </c>
      <c r="AD30" s="17" t="s">
        <v>624</v>
      </c>
      <c r="AE30" s="17">
        <f t="shared" si="3"/>
        <v>1</v>
      </c>
      <c r="AF30" s="17" t="s">
        <v>625</v>
      </c>
      <c r="AG30" s="17" t="str">
        <f t="shared" si="4"/>
        <v>Methodological</v>
      </c>
      <c r="AH30" s="17" t="s">
        <v>626</v>
      </c>
      <c r="AI30" s="16">
        <f t="shared" si="5"/>
        <v>3</v>
      </c>
      <c r="AJ30" s="17"/>
    </row>
    <row r="31" spans="1:38" ht="250.1" customHeight="1" x14ac:dyDescent="0.5">
      <c r="A31" s="16">
        <v>30</v>
      </c>
      <c r="B31" s="17" t="s">
        <v>101</v>
      </c>
      <c r="C31" s="17" t="s">
        <v>627</v>
      </c>
      <c r="D31" s="17" t="s">
        <v>628</v>
      </c>
      <c r="E31" s="17" t="s">
        <v>629</v>
      </c>
      <c r="F31" s="17" t="s">
        <v>630</v>
      </c>
      <c r="G31" s="17" t="s">
        <v>631</v>
      </c>
      <c r="H31" s="17">
        <v>2015</v>
      </c>
      <c r="I31" s="17" t="s">
        <v>41</v>
      </c>
      <c r="J31" s="17" t="s">
        <v>632</v>
      </c>
      <c r="K31" s="17" t="s">
        <v>633</v>
      </c>
      <c r="L31" s="17">
        <v>3.5</v>
      </c>
      <c r="M31" s="17">
        <v>100</v>
      </c>
      <c r="N31" s="17" t="s">
        <v>634</v>
      </c>
      <c r="O31" s="17" t="s">
        <v>635</v>
      </c>
      <c r="P31" s="17" t="s">
        <v>636</v>
      </c>
      <c r="Q31" s="17" t="s">
        <v>637</v>
      </c>
      <c r="R31" s="17" cm="1">
        <f t="array" ref="R31">IF(AND(OR(ISNUMBER(SEARCH({"mzml","mzxml","mztab","mztab-m","mgf","mzdata","peakml","traml","mzidentml","pepxml","protxml","imzml","nmrml","fid","cnx","smiles","inchi","inchikey","sdf","mol","mol2","xyz","smi","pdb","mmcif","cif","fasta","fastq","gtf","sam","bam","vcf","csv","tsv","json","hdf5","h5ad","msp","ms","isa-tab","biom"},LOWER(P31)))),OR(ISNUMBER(SEARCH({"mzml","mzxml","mztab","mztab-m","mgf","msp","pepxml","protxml","mzidentml","idxml","featurexml","consensusxml","qcml","mzquantml","peakml","nmrml","massbank","smiles","inchi","inchikey","sdf","mol","smi","pdb","mmcif","cif","fasta","fastq","bam","vcf","genbank","gff","csv","tsv","json","xlsx","hdf5","h5ad","graphml","gml","isa-tab","blib","newick","onnx"},LOWER(Q31))))),1,0)</f>
        <v>1</v>
      </c>
      <c r="S31" s="17" t="s">
        <v>638</v>
      </c>
      <c r="T31" s="17" t="s">
        <v>639</v>
      </c>
      <c r="U31" s="17">
        <v>1</v>
      </c>
      <c r="V31" s="17" t="s">
        <v>640</v>
      </c>
      <c r="W31" s="17">
        <f t="shared" si="0"/>
        <v>1</v>
      </c>
      <c r="X31" s="17" t="s">
        <v>641</v>
      </c>
      <c r="Y31" s="17" t="s">
        <v>642</v>
      </c>
      <c r="Z31" s="17" t="s">
        <v>643</v>
      </c>
      <c r="AA31" s="17">
        <f t="shared" si="1"/>
        <v>1</v>
      </c>
      <c r="AB31" s="17" t="s">
        <v>644</v>
      </c>
      <c r="AC31" s="17">
        <f t="shared" si="2"/>
        <v>1</v>
      </c>
      <c r="AD31" s="17" t="s">
        <v>645</v>
      </c>
      <c r="AE31" s="17">
        <f t="shared" si="3"/>
        <v>1</v>
      </c>
      <c r="AF31" s="17" t="s">
        <v>646</v>
      </c>
      <c r="AG31" s="17" t="str">
        <f t="shared" si="4"/>
        <v>Methodological</v>
      </c>
      <c r="AH31" s="17" t="s">
        <v>647</v>
      </c>
      <c r="AI31" s="16">
        <f t="shared" si="5"/>
        <v>6</v>
      </c>
      <c r="AJ31" s="17"/>
    </row>
    <row r="32" spans="1:38" ht="250.1" customHeight="1" x14ac:dyDescent="0.5">
      <c r="A32" s="16">
        <v>31</v>
      </c>
      <c r="B32" s="17" t="s">
        <v>35</v>
      </c>
      <c r="C32" s="17" t="s">
        <v>648</v>
      </c>
      <c r="D32" s="17" t="s">
        <v>649</v>
      </c>
      <c r="E32" s="17" t="s">
        <v>650</v>
      </c>
      <c r="F32" s="17" t="s">
        <v>651</v>
      </c>
      <c r="G32" s="17" t="s">
        <v>652</v>
      </c>
      <c r="H32" s="17">
        <v>2019</v>
      </c>
      <c r="I32" s="17" t="s">
        <v>148</v>
      </c>
      <c r="J32" s="17" t="s">
        <v>653</v>
      </c>
      <c r="K32" s="17" t="s">
        <v>251</v>
      </c>
      <c r="L32" s="17" t="s">
        <v>252</v>
      </c>
      <c r="M32" s="17">
        <v>10</v>
      </c>
      <c r="N32" s="17" t="s">
        <v>654</v>
      </c>
      <c r="O32" s="17" t="s">
        <v>655</v>
      </c>
      <c r="P32" s="17" t="s">
        <v>656</v>
      </c>
      <c r="Q32" s="17" t="s">
        <v>657</v>
      </c>
      <c r="R32" s="17" cm="1">
        <f t="array" ref="R32">IF(AND(OR(ISNUMBER(SEARCH({"mzml","mzxml","mztab","mztab-m","mgf","mzdata","peakml","traml","mzidentml","pepxml","protxml","imzml","nmrml","fid","cnx","smiles","inchi","inchikey","sdf","mol","mol2","xyz","smi","pdb","mmcif","cif","fasta","fastq","gtf","sam","bam","vcf","csv","tsv","json","hdf5","h5ad","msp","ms","isa-tab","biom"},LOWER(P32)))),OR(ISNUMBER(SEARCH({"mzml","mzxml","mztab","mztab-m","mgf","msp","pepxml","protxml","mzidentml","idxml","featurexml","consensusxml","qcml","mzquantml","peakml","nmrml","massbank","smiles","inchi","inchikey","sdf","mol","smi","pdb","mmcif","cif","fasta","fastq","bam","vcf","genbank","gff","csv","tsv","json","xlsx","hdf5","h5ad","graphml","gml","isa-tab","blib","newick","onnx"},LOWER(Q32))))),1,0)</f>
        <v>1</v>
      </c>
      <c r="S32" s="17" t="s">
        <v>658</v>
      </c>
      <c r="T32" s="17" t="s">
        <v>160</v>
      </c>
      <c r="U32" s="17">
        <v>0</v>
      </c>
      <c r="V32" s="17" t="s">
        <v>659</v>
      </c>
      <c r="W32" s="17">
        <f t="shared" si="0"/>
        <v>0</v>
      </c>
      <c r="X32" s="17" t="s">
        <v>660</v>
      </c>
      <c r="Y32" s="17" t="s">
        <v>661</v>
      </c>
      <c r="Z32" s="17" t="s">
        <v>662</v>
      </c>
      <c r="AA32" s="17">
        <f t="shared" si="1"/>
        <v>1</v>
      </c>
      <c r="AB32" s="17" t="s">
        <v>663</v>
      </c>
      <c r="AC32" s="17">
        <f t="shared" si="2"/>
        <v>1</v>
      </c>
      <c r="AD32" s="17" t="s">
        <v>664</v>
      </c>
      <c r="AE32" s="17">
        <f t="shared" si="3"/>
        <v>1</v>
      </c>
      <c r="AF32" s="17" t="s">
        <v>665</v>
      </c>
      <c r="AG32" s="17" t="str">
        <f t="shared" si="4"/>
        <v>Methodological</v>
      </c>
      <c r="AH32" s="17" t="s">
        <v>666</v>
      </c>
      <c r="AI32" s="16">
        <f t="shared" si="5"/>
        <v>4</v>
      </c>
      <c r="AJ32" s="17"/>
    </row>
    <row r="33" spans="1:38" ht="250.1" customHeight="1" x14ac:dyDescent="0.5">
      <c r="A33" s="16">
        <v>32</v>
      </c>
      <c r="B33" s="17" t="s">
        <v>35</v>
      </c>
      <c r="C33" s="17" t="s">
        <v>667</v>
      </c>
      <c r="D33" s="17" t="s">
        <v>668</v>
      </c>
      <c r="E33" s="17" t="s">
        <v>669</v>
      </c>
      <c r="F33" s="17" t="s">
        <v>670</v>
      </c>
      <c r="G33" s="17" t="s">
        <v>671</v>
      </c>
      <c r="H33" s="17">
        <v>2021</v>
      </c>
      <c r="I33" s="17" t="s">
        <v>148</v>
      </c>
      <c r="J33" s="17" t="s">
        <v>672</v>
      </c>
      <c r="K33" s="17" t="s">
        <v>514</v>
      </c>
      <c r="L33" s="17">
        <v>63.1</v>
      </c>
      <c r="M33" s="17">
        <v>45</v>
      </c>
      <c r="N33" s="17" t="s">
        <v>673</v>
      </c>
      <c r="O33" s="17" t="s">
        <v>674</v>
      </c>
      <c r="P33" s="17" t="s">
        <v>675</v>
      </c>
      <c r="Q33" s="17" t="s">
        <v>676</v>
      </c>
      <c r="R33" s="17" cm="1">
        <f t="array" ref="R33">IF(AND(OR(ISNUMBER(SEARCH({"mzml","mzxml","mztab","mztab-m","mgf","mzdata","peakml","traml","mzidentml","pepxml","protxml","imzml","nmrml","fid","cnx","smiles","inchi","inchikey","sdf","mol","mol2","xyz","smi","pdb","mmcif","cif","fasta","fastq","gtf","sam","bam","vcf","csv","tsv","json","hdf5","h5ad","msp","ms","isa-tab","biom"},LOWER(P33)))),OR(ISNUMBER(SEARCH({"mzml","mzxml","mztab","mztab-m","mgf","msp","pepxml","protxml","mzidentml","idxml","featurexml","consensusxml","qcml","mzquantml","peakml","nmrml","massbank","smiles","inchi","inchikey","sdf","mol","smi","pdb","mmcif","cif","fasta","fastq","bam","vcf","genbank","gff","csv","tsv","json","xlsx","hdf5","h5ad","graphml","gml","isa-tab","blib","newick","onnx"},LOWER(Q33))))),1,0)</f>
        <v>0</v>
      </c>
      <c r="S33" s="17" t="s">
        <v>160</v>
      </c>
      <c r="T33" s="17" t="s">
        <v>160</v>
      </c>
      <c r="U33" s="17">
        <v>0</v>
      </c>
      <c r="V33" s="17" t="s">
        <v>677</v>
      </c>
      <c r="W33" s="17">
        <f t="shared" si="0"/>
        <v>1</v>
      </c>
      <c r="X33" s="17" t="s">
        <v>678</v>
      </c>
      <c r="Y33" s="17" t="s">
        <v>160</v>
      </c>
      <c r="Z33" s="17" t="s">
        <v>679</v>
      </c>
      <c r="AA33" s="17">
        <f t="shared" si="1"/>
        <v>1</v>
      </c>
      <c r="AB33" s="17" t="s">
        <v>680</v>
      </c>
      <c r="AC33" s="17">
        <f t="shared" si="2"/>
        <v>1</v>
      </c>
      <c r="AD33" s="17" t="s">
        <v>681</v>
      </c>
      <c r="AE33" s="17">
        <f t="shared" si="3"/>
        <v>0</v>
      </c>
      <c r="AF33" s="17" t="s">
        <v>682</v>
      </c>
      <c r="AG33" s="17" t="str">
        <f t="shared" si="4"/>
        <v>Methodological</v>
      </c>
      <c r="AH33" s="17" t="s">
        <v>683</v>
      </c>
      <c r="AI33" s="16">
        <f t="shared" si="5"/>
        <v>3</v>
      </c>
      <c r="AJ33" s="17"/>
    </row>
    <row r="34" spans="1:38" ht="250.1" customHeight="1" x14ac:dyDescent="0.5">
      <c r="A34" s="16">
        <v>33</v>
      </c>
      <c r="B34" s="17" t="s">
        <v>79</v>
      </c>
      <c r="C34" s="17" t="s">
        <v>684</v>
      </c>
      <c r="D34" s="17" t="s">
        <v>685</v>
      </c>
      <c r="E34" s="17" t="s">
        <v>686</v>
      </c>
      <c r="F34" s="17" t="s">
        <v>687</v>
      </c>
      <c r="G34" s="17" t="s">
        <v>688</v>
      </c>
      <c r="H34" s="17">
        <v>2015</v>
      </c>
      <c r="I34" s="17" t="s">
        <v>41</v>
      </c>
      <c r="J34" s="17" t="s">
        <v>689</v>
      </c>
      <c r="K34" s="17" t="s">
        <v>108</v>
      </c>
      <c r="L34" s="17">
        <v>2.9</v>
      </c>
      <c r="M34" s="17">
        <v>133</v>
      </c>
      <c r="N34" s="17" t="s">
        <v>690</v>
      </c>
      <c r="O34" s="17" t="s">
        <v>691</v>
      </c>
      <c r="P34" s="17" t="s">
        <v>692</v>
      </c>
      <c r="Q34" s="17" t="s">
        <v>693</v>
      </c>
      <c r="R34" s="17" cm="1">
        <f t="array" ref="R34">IF(AND(OR(ISNUMBER(SEARCH({"mzml","mzxml","mztab","mztab-m","mgf","mzdata","peakml","traml","mzidentml","pepxml","protxml","imzml","nmrml","fid","cnx","smiles","inchi","inchikey","sdf","mol","mol2","xyz","smi","pdb","mmcif","cif","fasta","fastq","gtf","sam","bam","vcf","csv","tsv","json","hdf5","h5ad","msp","ms","isa-tab","biom"},LOWER(P34)))),OR(ISNUMBER(SEARCH({"mzml","mzxml","mztab","mztab-m","mgf","msp","pepxml","protxml","mzidentml","idxml","featurexml","consensusxml","qcml","mzquantml","peakml","nmrml","massbank","smiles","inchi","inchikey","sdf","mol","smi","pdb","mmcif","cif","fasta","fastq","bam","vcf","genbank","gff","csv","tsv","json","xlsx","hdf5","h5ad","graphml","gml","isa-tab","blib","newick","onnx"},LOWER(Q34))))),1,0)</f>
        <v>0</v>
      </c>
      <c r="S34" s="17" t="s">
        <v>694</v>
      </c>
      <c r="T34" s="17" t="s">
        <v>695</v>
      </c>
      <c r="U34" s="17">
        <v>1</v>
      </c>
      <c r="V34" s="17" t="s">
        <v>696</v>
      </c>
      <c r="W34" s="17">
        <f t="shared" si="0"/>
        <v>0</v>
      </c>
      <c r="X34" s="17" t="s">
        <v>697</v>
      </c>
      <c r="Y34" s="17" t="s">
        <v>160</v>
      </c>
      <c r="Z34" s="17" t="s">
        <v>698</v>
      </c>
      <c r="AA34" s="17">
        <f t="shared" si="1"/>
        <v>1</v>
      </c>
      <c r="AB34" s="17" t="s">
        <v>699</v>
      </c>
      <c r="AC34" s="17">
        <f t="shared" si="2"/>
        <v>1</v>
      </c>
      <c r="AD34" s="17" t="s">
        <v>700</v>
      </c>
      <c r="AE34" s="17">
        <f t="shared" si="3"/>
        <v>0</v>
      </c>
      <c r="AF34" s="17" t="s">
        <v>701</v>
      </c>
      <c r="AG34" s="17" t="str">
        <f t="shared" si="4"/>
        <v>Methodological</v>
      </c>
      <c r="AH34" s="17" t="s">
        <v>702</v>
      </c>
      <c r="AI34" s="16">
        <f t="shared" si="5"/>
        <v>3</v>
      </c>
      <c r="AJ34" s="17"/>
    </row>
    <row r="35" spans="1:38" ht="250.1" customHeight="1" x14ac:dyDescent="0.5">
      <c r="A35" s="16">
        <v>34</v>
      </c>
      <c r="B35" s="17" t="s">
        <v>35</v>
      </c>
      <c r="C35" s="17" t="s">
        <v>703</v>
      </c>
      <c r="D35" s="17" t="s">
        <v>704</v>
      </c>
      <c r="E35" s="17" t="s">
        <v>705</v>
      </c>
      <c r="F35" s="17" t="s">
        <v>706</v>
      </c>
      <c r="G35" s="17" t="s">
        <v>707</v>
      </c>
      <c r="H35" s="17">
        <v>2023</v>
      </c>
      <c r="I35" s="17" t="s">
        <v>41</v>
      </c>
      <c r="J35" s="17" t="s">
        <v>708</v>
      </c>
      <c r="K35" s="17" t="s">
        <v>43</v>
      </c>
      <c r="L35" s="17">
        <v>4.4000000000000004</v>
      </c>
      <c r="M35" s="17">
        <v>0</v>
      </c>
      <c r="N35" s="17" t="s">
        <v>709</v>
      </c>
      <c r="O35" s="17" t="s">
        <v>710</v>
      </c>
      <c r="P35" s="17" t="s">
        <v>711</v>
      </c>
      <c r="Q35" s="17" t="s">
        <v>711</v>
      </c>
      <c r="R35" s="17" cm="1">
        <f t="array" ref="R35">IF(AND(OR(ISNUMBER(SEARCH({"mzml","mzxml","mztab","mztab-m","mgf","mzdata","peakml","traml","mzidentml","pepxml","protxml","imzml","nmrml","fid","cnx","smiles","inchi","inchikey","sdf","mol","mol2","xyz","smi","pdb","mmcif","cif","fasta","fastq","gtf","sam","bam","vcf","csv","tsv","json","hdf5","h5ad","msp","ms","isa-tab","biom"},LOWER(P35)))),OR(ISNUMBER(SEARCH({"mzml","mzxml","mztab","mztab-m","mgf","msp","pepxml","protxml","mzidentml","idxml","featurexml","consensusxml","qcml","mzquantml","peakml","nmrml","massbank","smiles","inchi","inchikey","sdf","mol","smi","pdb","mmcif","cif","fasta","fastq","bam","vcf","genbank","gff","csv","tsv","json","xlsx","hdf5","h5ad","graphml","gml","isa-tab","blib","newick","onnx"},LOWER(Q35))))),1,0)</f>
        <v>1</v>
      </c>
      <c r="S35" s="17" t="s">
        <v>712</v>
      </c>
      <c r="T35" s="17" t="s">
        <v>160</v>
      </c>
      <c r="U35" s="17">
        <v>0</v>
      </c>
      <c r="V35" s="17" t="s">
        <v>713</v>
      </c>
      <c r="W35" s="17">
        <f t="shared" si="0"/>
        <v>1</v>
      </c>
      <c r="X35" s="17" t="s">
        <v>714</v>
      </c>
      <c r="Y35" s="17" t="s">
        <v>321</v>
      </c>
      <c r="Z35" s="17" t="s">
        <v>715</v>
      </c>
      <c r="AA35" s="17">
        <f t="shared" si="1"/>
        <v>1</v>
      </c>
      <c r="AB35" s="17" t="s">
        <v>716</v>
      </c>
      <c r="AC35" s="17">
        <f t="shared" si="2"/>
        <v>1</v>
      </c>
      <c r="AD35" s="17" t="s">
        <v>717</v>
      </c>
      <c r="AE35" s="17">
        <f t="shared" si="3"/>
        <v>0</v>
      </c>
      <c r="AF35" s="17" t="s">
        <v>718</v>
      </c>
      <c r="AG35" s="17" t="str">
        <f t="shared" si="4"/>
        <v>Clinical and Health</v>
      </c>
      <c r="AH35" s="17" t="s">
        <v>719</v>
      </c>
      <c r="AI35" s="16">
        <f t="shared" si="5"/>
        <v>4</v>
      </c>
      <c r="AJ35" s="17"/>
    </row>
    <row r="36" spans="1:38" ht="250.1" customHeight="1" x14ac:dyDescent="0.5">
      <c r="A36" s="16">
        <v>35</v>
      </c>
      <c r="B36" s="17" t="s">
        <v>101</v>
      </c>
      <c r="C36" s="17" t="s">
        <v>720</v>
      </c>
      <c r="D36" s="17" t="s">
        <v>721</v>
      </c>
      <c r="E36" s="17" t="s">
        <v>722</v>
      </c>
      <c r="F36" s="17" t="s">
        <v>723</v>
      </c>
      <c r="G36" s="17" t="s">
        <v>724</v>
      </c>
      <c r="H36" s="17">
        <v>2018</v>
      </c>
      <c r="I36" s="17" t="s">
        <v>41</v>
      </c>
      <c r="J36" s="17" t="s">
        <v>725</v>
      </c>
      <c r="K36" s="17" t="s">
        <v>411</v>
      </c>
      <c r="L36" s="17" t="s">
        <v>252</v>
      </c>
      <c r="M36" s="17">
        <v>37</v>
      </c>
      <c r="N36" s="17" t="s">
        <v>726</v>
      </c>
      <c r="O36" s="17" t="s">
        <v>727</v>
      </c>
      <c r="P36" s="17" t="s">
        <v>321</v>
      </c>
      <c r="Q36" s="17" t="s">
        <v>321</v>
      </c>
      <c r="R36" s="17" cm="1">
        <f t="array" ref="R36">IF(AND(OR(ISNUMBER(SEARCH({"mzml","mzxml","mztab","mztab-m","mgf","mzdata","peakml","traml","mzidentml","pepxml","protxml","imzml","nmrml","fid","cnx","smiles","inchi","inchikey","sdf","mol","mol2","xyz","smi","pdb","mmcif","cif","fasta","fastq","gtf","sam","bam","vcf","csv","tsv","json","hdf5","h5ad","msp","ms","isa-tab","biom"},LOWER(P36)))),OR(ISNUMBER(SEARCH({"mzml","mzxml","mztab","mztab-m","mgf","msp","pepxml","protxml","mzidentml","idxml","featurexml","consensusxml","qcml","mzquantml","peakml","nmrml","massbank","smiles","inchi","inchikey","sdf","mol","smi","pdb","mmcif","cif","fasta","fastq","bam","vcf","genbank","gff","csv","tsv","json","xlsx","hdf5","h5ad","graphml","gml","isa-tab","blib","newick","onnx"},LOWER(Q36))))),1,0)</f>
        <v>0</v>
      </c>
      <c r="S36" s="17" t="s">
        <v>728</v>
      </c>
      <c r="T36" s="17" t="s">
        <v>160</v>
      </c>
      <c r="U36" s="17">
        <v>0</v>
      </c>
      <c r="V36" s="17" t="s">
        <v>729</v>
      </c>
      <c r="W36" s="17">
        <f t="shared" si="0"/>
        <v>1</v>
      </c>
      <c r="X36" s="17" t="s">
        <v>730</v>
      </c>
      <c r="Y36" s="17" t="s">
        <v>321</v>
      </c>
      <c r="Z36" s="17" t="s">
        <v>731</v>
      </c>
      <c r="AA36" s="17">
        <f t="shared" si="1"/>
        <v>1</v>
      </c>
      <c r="AB36" s="17" t="s">
        <v>160</v>
      </c>
      <c r="AC36" s="17">
        <f t="shared" si="2"/>
        <v>0</v>
      </c>
      <c r="AD36" s="17" t="s">
        <v>732</v>
      </c>
      <c r="AE36" s="17">
        <f t="shared" si="3"/>
        <v>0</v>
      </c>
      <c r="AF36" s="17" t="s">
        <v>733</v>
      </c>
      <c r="AG36" s="17" t="str">
        <f t="shared" si="4"/>
        <v>Clinical and Health</v>
      </c>
      <c r="AH36" s="17" t="s">
        <v>734</v>
      </c>
      <c r="AI36" s="16">
        <f t="shared" si="5"/>
        <v>2</v>
      </c>
      <c r="AJ36" s="17"/>
    </row>
    <row r="37" spans="1:38" ht="250.1" customHeight="1" x14ac:dyDescent="0.5">
      <c r="A37" s="16">
        <v>36</v>
      </c>
      <c r="B37" s="17" t="s">
        <v>35</v>
      </c>
      <c r="C37" s="17" t="s">
        <v>735</v>
      </c>
      <c r="D37" s="17" t="s">
        <v>736</v>
      </c>
      <c r="E37" s="17" t="s">
        <v>737</v>
      </c>
      <c r="F37" s="17" t="s">
        <v>738</v>
      </c>
      <c r="G37" s="17" t="s">
        <v>739</v>
      </c>
      <c r="H37" s="17">
        <v>2024</v>
      </c>
      <c r="I37" s="17" t="s">
        <v>148</v>
      </c>
      <c r="J37" s="17" t="s">
        <v>740</v>
      </c>
      <c r="K37" s="17" t="s">
        <v>574</v>
      </c>
      <c r="L37" s="17">
        <v>16.600000000000001</v>
      </c>
      <c r="M37" s="17">
        <v>48</v>
      </c>
      <c r="N37" s="17" t="s">
        <v>741</v>
      </c>
      <c r="O37" s="17" t="s">
        <v>742</v>
      </c>
      <c r="P37" s="17" t="s">
        <v>743</v>
      </c>
      <c r="Q37" s="17" t="s">
        <v>744</v>
      </c>
      <c r="R37" s="17" cm="1">
        <f t="array" ref="R37">IF(AND(OR(ISNUMBER(SEARCH({"mzml","mzxml","mztab","mztab-m","mgf","mzdata","peakml","traml","mzidentml","pepxml","protxml","imzml","nmrml","fid","cnx","smiles","inchi","inchikey","sdf","mol","mol2","xyz","smi","pdb","mmcif","cif","fasta","fastq","gtf","sam","bam","vcf","csv","tsv","json","hdf5","h5ad","msp","ms","isa-tab","biom"},LOWER(P37)))),OR(ISNUMBER(SEARCH({"mzml","mzxml","mztab","mztab-m","mgf","msp","pepxml","protxml","mzidentml","idxml","featurexml","consensusxml","qcml","mzquantml","peakml","nmrml","massbank","smiles","inchi","inchikey","sdf","mol","smi","pdb","mmcif","cif","fasta","fastq","bam","vcf","genbank","gff","csv","tsv","json","xlsx","hdf5","h5ad","graphml","gml","isa-tab","blib","newick","onnx"},LOWER(Q37))))),1,0)</f>
        <v>1</v>
      </c>
      <c r="S37" s="17" t="s">
        <v>745</v>
      </c>
      <c r="T37" s="17" t="s">
        <v>746</v>
      </c>
      <c r="U37" s="17">
        <v>0</v>
      </c>
      <c r="V37" s="17" t="s">
        <v>747</v>
      </c>
      <c r="W37" s="17">
        <f t="shared" si="0"/>
        <v>1</v>
      </c>
      <c r="X37" s="17" t="s">
        <v>748</v>
      </c>
      <c r="Y37" s="17" t="s">
        <v>749</v>
      </c>
      <c r="Z37" s="17" t="s">
        <v>750</v>
      </c>
      <c r="AA37" s="17">
        <f t="shared" si="1"/>
        <v>1</v>
      </c>
      <c r="AB37" s="17" t="s">
        <v>160</v>
      </c>
      <c r="AC37" s="17">
        <f t="shared" si="2"/>
        <v>0</v>
      </c>
      <c r="AD37" s="17" t="s">
        <v>751</v>
      </c>
      <c r="AE37" s="17">
        <f t="shared" si="3"/>
        <v>0</v>
      </c>
      <c r="AF37" s="17" t="s">
        <v>752</v>
      </c>
      <c r="AG37" s="17" t="str">
        <f t="shared" si="4"/>
        <v>Methodological</v>
      </c>
      <c r="AH37" s="17" t="s">
        <v>753</v>
      </c>
      <c r="AI37" s="16">
        <f t="shared" si="5"/>
        <v>3</v>
      </c>
      <c r="AJ37" s="17"/>
    </row>
    <row r="38" spans="1:38" ht="250.1" customHeight="1" x14ac:dyDescent="0.5">
      <c r="A38" s="16">
        <v>37</v>
      </c>
      <c r="B38" s="17" t="s">
        <v>79</v>
      </c>
      <c r="C38" s="17" t="s">
        <v>754</v>
      </c>
      <c r="D38" s="17" t="s">
        <v>755</v>
      </c>
      <c r="E38" s="17" t="s">
        <v>756</v>
      </c>
      <c r="F38" s="17" t="s">
        <v>757</v>
      </c>
      <c r="G38" s="17" t="s">
        <v>758</v>
      </c>
      <c r="H38" s="17">
        <v>2020</v>
      </c>
      <c r="I38" s="17" t="s">
        <v>41</v>
      </c>
      <c r="J38" s="17" t="s">
        <v>759</v>
      </c>
      <c r="K38" s="17" t="s">
        <v>432</v>
      </c>
      <c r="L38" s="17">
        <v>14.7</v>
      </c>
      <c r="M38" s="17">
        <v>79</v>
      </c>
      <c r="N38" s="17" t="s">
        <v>760</v>
      </c>
      <c r="O38" s="17" t="s">
        <v>761</v>
      </c>
      <c r="P38" s="17" t="s">
        <v>762</v>
      </c>
      <c r="Q38" s="17" t="s">
        <v>763</v>
      </c>
      <c r="R38" s="17" cm="1">
        <f t="array" ref="R38">IF(AND(OR(ISNUMBER(SEARCH({"mzml","mzxml","mztab","mztab-m","mgf","mzdata","peakml","traml","mzidentml","pepxml","protxml","imzml","nmrml","fid","cnx","smiles","inchi","inchikey","sdf","mol","mol2","xyz","smi","pdb","mmcif","cif","fasta","fastq","gtf","sam","bam","vcf","csv","tsv","json","hdf5","h5ad","msp","ms","isa-tab","biom"},LOWER(P38)))),OR(ISNUMBER(SEARCH({"mzml","mzxml","mztab","mztab-m","mgf","msp","pepxml","protxml","mzidentml","idxml","featurexml","consensusxml","qcml","mzquantml","peakml","nmrml","massbank","smiles","inchi","inchikey","sdf","mol","smi","pdb","mmcif","cif","fasta","fastq","bam","vcf","genbank","gff","csv","tsv","json","xlsx","hdf5","h5ad","graphml","gml","isa-tab","blib","newick","onnx"},LOWER(Q38))))),1,0)</f>
        <v>1</v>
      </c>
      <c r="S38" s="17" t="s">
        <v>764</v>
      </c>
      <c r="T38" s="17" t="s">
        <v>765</v>
      </c>
      <c r="U38" s="17">
        <v>1</v>
      </c>
      <c r="V38" s="17" t="s">
        <v>766</v>
      </c>
      <c r="W38" s="17">
        <f t="shared" si="0"/>
        <v>1</v>
      </c>
      <c r="X38" s="17" t="s">
        <v>767</v>
      </c>
      <c r="Y38" s="17" t="s">
        <v>768</v>
      </c>
      <c r="Z38" s="17" t="s">
        <v>769</v>
      </c>
      <c r="AA38" s="17">
        <f t="shared" si="1"/>
        <v>1</v>
      </c>
      <c r="AB38" s="17" t="s">
        <v>770</v>
      </c>
      <c r="AC38" s="17">
        <f t="shared" si="2"/>
        <v>1</v>
      </c>
      <c r="AD38" s="17" t="s">
        <v>771</v>
      </c>
      <c r="AE38" s="17">
        <f t="shared" si="3"/>
        <v>0</v>
      </c>
      <c r="AF38" s="17" t="s">
        <v>772</v>
      </c>
      <c r="AG38" s="17" t="str">
        <f t="shared" si="4"/>
        <v>Clinical and Health</v>
      </c>
      <c r="AH38" s="17" t="s">
        <v>773</v>
      </c>
      <c r="AI38" s="16">
        <f t="shared" si="5"/>
        <v>5</v>
      </c>
      <c r="AJ38" s="17"/>
    </row>
    <row r="39" spans="1:38" ht="250.1" customHeight="1" x14ac:dyDescent="0.5">
      <c r="A39" s="16">
        <v>38</v>
      </c>
      <c r="B39" s="17" t="s">
        <v>101</v>
      </c>
      <c r="C39" s="17" t="s">
        <v>774</v>
      </c>
      <c r="D39" s="17" t="s">
        <v>775</v>
      </c>
      <c r="E39" s="17" t="s">
        <v>776</v>
      </c>
      <c r="F39" s="17" t="s">
        <v>777</v>
      </c>
      <c r="G39" s="17" t="s">
        <v>778</v>
      </c>
      <c r="H39" s="17">
        <v>2020</v>
      </c>
      <c r="I39" s="17" t="s">
        <v>41</v>
      </c>
      <c r="J39" s="17" t="s">
        <v>779</v>
      </c>
      <c r="K39" s="17" t="s">
        <v>43</v>
      </c>
      <c r="L39" s="17">
        <v>4.4000000000000004</v>
      </c>
      <c r="M39" s="17">
        <v>11</v>
      </c>
      <c r="N39" s="17" t="s">
        <v>780</v>
      </c>
      <c r="O39" s="17" t="s">
        <v>781</v>
      </c>
      <c r="P39" s="17" t="s">
        <v>782</v>
      </c>
      <c r="Q39" s="17" t="s">
        <v>783</v>
      </c>
      <c r="R39" s="17" cm="1">
        <f t="array" ref="R39">IF(AND(OR(ISNUMBER(SEARCH({"mzml","mzxml","mztab","mztab-m","mgf","mzdata","peakml","traml","mzidentml","pepxml","protxml","imzml","nmrml","fid","cnx","smiles","inchi","inchikey","sdf","mol","mol2","xyz","smi","pdb","mmcif","cif","fasta","fastq","gtf","sam","bam","vcf","csv","tsv","json","hdf5","h5ad","msp","ms","isa-tab","biom"},LOWER(P39)))),OR(ISNUMBER(SEARCH({"mzml","mzxml","mztab","mztab-m","mgf","msp","pepxml","protxml","mzidentml","idxml","featurexml","consensusxml","qcml","mzquantml","peakml","nmrml","massbank","smiles","inchi","inchikey","sdf","mol","smi","pdb","mmcif","cif","fasta","fastq","bam","vcf","genbank","gff","csv","tsv","json","xlsx","hdf5","h5ad","graphml","gml","isa-tab","blib","newick","onnx"},LOWER(Q39))))),1,0)</f>
        <v>1</v>
      </c>
      <c r="S39" s="17" t="s">
        <v>784</v>
      </c>
      <c r="T39" s="17" t="s">
        <v>160</v>
      </c>
      <c r="U39" s="17">
        <v>1</v>
      </c>
      <c r="V39" s="17" t="s">
        <v>785</v>
      </c>
      <c r="W39" s="17">
        <f t="shared" si="0"/>
        <v>1</v>
      </c>
      <c r="X39" s="17" t="s">
        <v>786</v>
      </c>
      <c r="Y39" s="17" t="s">
        <v>160</v>
      </c>
      <c r="Z39" s="17" t="s">
        <v>787</v>
      </c>
      <c r="AA39" s="17">
        <f t="shared" si="1"/>
        <v>1</v>
      </c>
      <c r="AB39" s="17" t="s">
        <v>788</v>
      </c>
      <c r="AC39" s="17">
        <f t="shared" si="2"/>
        <v>1</v>
      </c>
      <c r="AD39" s="17" t="s">
        <v>789</v>
      </c>
      <c r="AE39" s="17">
        <f t="shared" si="3"/>
        <v>0</v>
      </c>
      <c r="AF39" s="17" t="s">
        <v>790</v>
      </c>
      <c r="AG39" s="17" t="str">
        <f t="shared" si="4"/>
        <v>Clinical and Health</v>
      </c>
      <c r="AH39" s="17" t="s">
        <v>791</v>
      </c>
      <c r="AI39" s="16">
        <f t="shared" si="5"/>
        <v>5</v>
      </c>
      <c r="AJ39" s="17"/>
    </row>
    <row r="40" spans="1:38" ht="250.1" customHeight="1" x14ac:dyDescent="0.5">
      <c r="A40" s="16">
        <v>39</v>
      </c>
      <c r="B40" s="17" t="s">
        <v>35</v>
      </c>
      <c r="C40" s="17" t="s">
        <v>792</v>
      </c>
      <c r="D40" s="17" t="s">
        <v>793</v>
      </c>
      <c r="E40" s="17" t="s">
        <v>794</v>
      </c>
      <c r="F40" s="17" t="s">
        <v>795</v>
      </c>
      <c r="G40" s="17" t="s">
        <v>796</v>
      </c>
      <c r="H40" s="17">
        <v>2020</v>
      </c>
      <c r="I40" s="17" t="s">
        <v>797</v>
      </c>
      <c r="J40" s="17" t="s">
        <v>798</v>
      </c>
      <c r="K40" s="17" t="s">
        <v>411</v>
      </c>
      <c r="L40" s="17" t="s">
        <v>252</v>
      </c>
      <c r="M40" s="17">
        <v>27</v>
      </c>
      <c r="N40" s="17" t="s">
        <v>799</v>
      </c>
      <c r="O40" s="17" t="s">
        <v>800</v>
      </c>
      <c r="P40" s="17" t="s">
        <v>801</v>
      </c>
      <c r="Q40" s="17" t="s">
        <v>802</v>
      </c>
      <c r="R40" s="17" cm="1">
        <f t="array" ref="R40">IF(AND(OR(ISNUMBER(SEARCH({"mzml","mzxml","mztab","mztab-m","mgf","mzdata","peakml","traml","mzidentml","pepxml","protxml","imzml","nmrml","fid","cnx","smiles","inchi","inchikey","sdf","mol","mol2","xyz","smi","pdb","mmcif","cif","fasta","fastq","gtf","sam","bam","vcf","csv","tsv","json","hdf5","h5ad","msp","ms","isa-tab","biom"},LOWER(P40)))),OR(ISNUMBER(SEARCH({"mzml","mzxml","mztab","mztab-m","mgf","msp","pepxml","protxml","mzidentml","idxml","featurexml","consensusxml","qcml","mzquantml","peakml","nmrml","massbank","smiles","inchi","inchikey","sdf","mol","smi","pdb","mmcif","cif","fasta","fastq","bam","vcf","genbank","gff","csv","tsv","json","xlsx","hdf5","h5ad","graphml","gml","isa-tab","blib","newick","onnx"},LOWER(Q40))))),1,0)</f>
        <v>1</v>
      </c>
      <c r="S40" s="17" t="s">
        <v>803</v>
      </c>
      <c r="T40" s="17" t="s">
        <v>804</v>
      </c>
      <c r="U40" s="17">
        <v>0</v>
      </c>
      <c r="V40" s="17" t="s">
        <v>805</v>
      </c>
      <c r="W40" s="17">
        <f t="shared" si="0"/>
        <v>1</v>
      </c>
      <c r="X40" s="17" t="s">
        <v>806</v>
      </c>
      <c r="Y40" s="17" t="s">
        <v>807</v>
      </c>
      <c r="Z40" s="17" t="s">
        <v>808</v>
      </c>
      <c r="AA40" s="17">
        <f t="shared" si="1"/>
        <v>1</v>
      </c>
      <c r="AB40" s="17" t="s">
        <v>809</v>
      </c>
      <c r="AC40" s="17">
        <f t="shared" si="2"/>
        <v>1</v>
      </c>
      <c r="AD40" s="17" t="s">
        <v>810</v>
      </c>
      <c r="AE40" s="17">
        <f t="shared" si="3"/>
        <v>0</v>
      </c>
      <c r="AF40" s="17" t="s">
        <v>811</v>
      </c>
      <c r="AG40" s="17" t="str">
        <f t="shared" si="4"/>
        <v>Methodological</v>
      </c>
      <c r="AH40" s="17" t="s">
        <v>812</v>
      </c>
      <c r="AI40" s="16">
        <f t="shared" si="5"/>
        <v>4</v>
      </c>
      <c r="AJ40" s="17"/>
    </row>
    <row r="41" spans="1:38" ht="250.1" customHeight="1" x14ac:dyDescent="0.5">
      <c r="A41" s="16">
        <v>40</v>
      </c>
      <c r="B41" s="17" t="s">
        <v>35</v>
      </c>
      <c r="C41" s="17" t="s">
        <v>813</v>
      </c>
      <c r="D41" s="17" t="s">
        <v>814</v>
      </c>
      <c r="E41" s="17" t="s">
        <v>815</v>
      </c>
      <c r="F41" s="17" t="s">
        <v>816</v>
      </c>
      <c r="G41" s="17" t="s">
        <v>817</v>
      </c>
      <c r="H41" s="17">
        <v>2021</v>
      </c>
      <c r="I41" s="17" t="s">
        <v>41</v>
      </c>
      <c r="J41" s="17" t="s">
        <v>818</v>
      </c>
      <c r="K41" s="17" t="s">
        <v>574</v>
      </c>
      <c r="L41" s="17">
        <v>16.600000000000001</v>
      </c>
      <c r="M41" s="17">
        <v>18</v>
      </c>
      <c r="N41" s="17" t="s">
        <v>819</v>
      </c>
      <c r="O41" s="17" t="s">
        <v>820</v>
      </c>
      <c r="P41" s="17" t="s">
        <v>821</v>
      </c>
      <c r="Q41" s="17" t="s">
        <v>822</v>
      </c>
      <c r="R41" s="17" cm="1">
        <f t="array" ref="R41">IF(AND(OR(ISNUMBER(SEARCH({"mzml","mzxml","mztab","mztab-m","mgf","mzdata","peakml","traml","mzidentml","pepxml","protxml","imzml","nmrml","fid","cnx","smiles","inchi","inchikey","sdf","mol","mol2","xyz","smi","pdb","mmcif","cif","fasta","fastq","gtf","sam","bam","vcf","csv","tsv","json","hdf5","h5ad","msp","ms","isa-tab","biom"},LOWER(P41)))),OR(ISNUMBER(SEARCH({"mzml","mzxml","mztab","mztab-m","mgf","msp","pepxml","protxml","mzidentml","idxml","featurexml","consensusxml","qcml","mzquantml","peakml","nmrml","massbank","smiles","inchi","inchikey","sdf","mol","smi","pdb","mmcif","cif","fasta","fastq","bam","vcf","genbank","gff","csv","tsv","json","xlsx","hdf5","h5ad","graphml","gml","isa-tab","blib","newick","onnx"},LOWER(Q41))))),1,0)</f>
        <v>1</v>
      </c>
      <c r="S41" s="17" t="s">
        <v>823</v>
      </c>
      <c r="T41" s="17" t="s">
        <v>160</v>
      </c>
      <c r="U41" s="17">
        <v>0</v>
      </c>
      <c r="V41" s="17" t="s">
        <v>824</v>
      </c>
      <c r="W41" s="17">
        <f t="shared" si="0"/>
        <v>1</v>
      </c>
      <c r="X41" s="17" t="s">
        <v>825</v>
      </c>
      <c r="Y41" s="17" t="s">
        <v>826</v>
      </c>
      <c r="Z41" s="17" t="s">
        <v>827</v>
      </c>
      <c r="AA41" s="17">
        <f t="shared" si="1"/>
        <v>1</v>
      </c>
      <c r="AB41" s="17" t="s">
        <v>160</v>
      </c>
      <c r="AC41" s="17">
        <f t="shared" si="2"/>
        <v>0</v>
      </c>
      <c r="AD41" s="17" t="s">
        <v>828</v>
      </c>
      <c r="AE41" s="17">
        <f t="shared" si="3"/>
        <v>0</v>
      </c>
      <c r="AF41" s="17" t="s">
        <v>829</v>
      </c>
      <c r="AG41" s="17" t="str">
        <f t="shared" si="4"/>
        <v>Clinical and Health</v>
      </c>
      <c r="AH41" s="17" t="s">
        <v>830</v>
      </c>
      <c r="AI41" s="16">
        <f t="shared" si="5"/>
        <v>3</v>
      </c>
      <c r="AJ41" s="17"/>
    </row>
    <row r="42" spans="1:38" ht="250.1" customHeight="1" x14ac:dyDescent="0.5">
      <c r="A42" s="16">
        <v>41</v>
      </c>
      <c r="B42" s="17" t="s">
        <v>101</v>
      </c>
      <c r="C42" s="17" t="s">
        <v>831</v>
      </c>
      <c r="D42" s="17" t="s">
        <v>832</v>
      </c>
      <c r="E42" s="17" t="s">
        <v>833</v>
      </c>
      <c r="F42" s="17" t="s">
        <v>834</v>
      </c>
      <c r="G42" s="17" t="s">
        <v>835</v>
      </c>
      <c r="H42" s="17">
        <v>2022</v>
      </c>
      <c r="I42" s="17" t="s">
        <v>148</v>
      </c>
      <c r="J42" s="17" t="s">
        <v>836</v>
      </c>
      <c r="K42" s="17" t="s">
        <v>43</v>
      </c>
      <c r="L42" s="17">
        <v>4.4000000000000004</v>
      </c>
      <c r="M42" s="17">
        <v>5</v>
      </c>
      <c r="N42" s="17" t="s">
        <v>837</v>
      </c>
      <c r="O42" s="17" t="s">
        <v>838</v>
      </c>
      <c r="P42" s="17" t="s">
        <v>839</v>
      </c>
      <c r="Q42" s="17" t="s">
        <v>840</v>
      </c>
      <c r="R42" s="17" cm="1">
        <f t="array" ref="R42">IF(AND(OR(ISNUMBER(SEARCH({"mzml","mzxml","mztab","mztab-m","mgf","mzdata","peakml","traml","mzidentml","pepxml","protxml","imzml","nmrml","fid","cnx","smiles","inchi","inchikey","sdf","mol","mol2","xyz","smi","pdb","mmcif","cif","fasta","fastq","gtf","sam","bam","vcf","csv","tsv","json","hdf5","h5ad","msp","ms","isa-tab","biom"},LOWER(P42)))),OR(ISNUMBER(SEARCH({"mzml","mzxml","mztab","mztab-m","mgf","msp","pepxml","protxml","mzidentml","idxml","featurexml","consensusxml","qcml","mzquantml","peakml","nmrml","massbank","smiles","inchi","inchikey","sdf","mol","smi","pdb","mmcif","cif","fasta","fastq","bam","vcf","genbank","gff","csv","tsv","json","xlsx","hdf5","h5ad","graphml","gml","isa-tab","blib","newick","onnx"},LOWER(Q42))))),1,0)</f>
        <v>0</v>
      </c>
      <c r="S42" s="17" t="s">
        <v>841</v>
      </c>
      <c r="T42" s="17" t="s">
        <v>842</v>
      </c>
      <c r="U42" s="17">
        <v>0</v>
      </c>
      <c r="V42" s="17" t="s">
        <v>843</v>
      </c>
      <c r="W42" s="17">
        <f t="shared" si="0"/>
        <v>1</v>
      </c>
      <c r="X42" s="17" t="s">
        <v>844</v>
      </c>
      <c r="Y42" s="17" t="s">
        <v>845</v>
      </c>
      <c r="Z42" s="17" t="s">
        <v>846</v>
      </c>
      <c r="AA42" s="17">
        <f t="shared" si="1"/>
        <v>1</v>
      </c>
      <c r="AB42" s="17" t="s">
        <v>847</v>
      </c>
      <c r="AC42" s="17">
        <f t="shared" si="2"/>
        <v>1</v>
      </c>
      <c r="AD42" s="17" t="s">
        <v>848</v>
      </c>
      <c r="AE42" s="17">
        <f t="shared" si="3"/>
        <v>1</v>
      </c>
      <c r="AF42" s="17" t="s">
        <v>849</v>
      </c>
      <c r="AG42" s="17" t="str">
        <f t="shared" si="4"/>
        <v>Methodological</v>
      </c>
      <c r="AH42" s="17" t="s">
        <v>850</v>
      </c>
      <c r="AI42" s="16">
        <f t="shared" si="5"/>
        <v>4</v>
      </c>
      <c r="AJ42" s="17"/>
    </row>
    <row r="43" spans="1:38" ht="250.1" customHeight="1" x14ac:dyDescent="0.5">
      <c r="A43" s="16">
        <v>42</v>
      </c>
      <c r="B43" s="17" t="s">
        <v>35</v>
      </c>
      <c r="C43" s="17" t="s">
        <v>851</v>
      </c>
      <c r="D43" s="17" t="s">
        <v>852</v>
      </c>
      <c r="E43" s="17" t="s">
        <v>853</v>
      </c>
      <c r="F43" s="17" t="s">
        <v>854</v>
      </c>
      <c r="G43" s="17" t="s">
        <v>855</v>
      </c>
      <c r="H43" s="17">
        <v>2024</v>
      </c>
      <c r="I43" s="17" t="s">
        <v>148</v>
      </c>
      <c r="J43" s="17" t="s">
        <v>856</v>
      </c>
      <c r="K43" s="17" t="s">
        <v>273</v>
      </c>
      <c r="L43" s="17">
        <v>6.7</v>
      </c>
      <c r="M43" s="17">
        <v>2</v>
      </c>
      <c r="N43" s="17" t="s">
        <v>857</v>
      </c>
      <c r="O43" s="17" t="s">
        <v>858</v>
      </c>
      <c r="P43" s="17" t="s">
        <v>859</v>
      </c>
      <c r="Q43" s="17" t="s">
        <v>860</v>
      </c>
      <c r="R43" s="17" cm="1">
        <f t="array" ref="R43">IF(AND(OR(ISNUMBER(SEARCH({"mzml","mzxml","mztab","mztab-m","mgf","mzdata","peakml","traml","mzidentml","pepxml","protxml","imzml","nmrml","fid","cnx","smiles","inchi","inchikey","sdf","mol","mol2","xyz","smi","pdb","mmcif","cif","fasta","fastq","gtf","sam","bam","vcf","csv","tsv","json","hdf5","h5ad","msp","ms","isa-tab","biom"},LOWER(P43)))),OR(ISNUMBER(SEARCH({"mzml","mzxml","mztab","mztab-m","mgf","msp","pepxml","protxml","mzidentml","idxml","featurexml","consensusxml","qcml","mzquantml","peakml","nmrml","massbank","smiles","inchi","inchikey","sdf","mol","smi","pdb","mmcif","cif","fasta","fastq","bam","vcf","genbank","gff","csv","tsv","json","xlsx","hdf5","h5ad","graphml","gml","isa-tab","blib","newick","onnx"},LOWER(Q43))))),1,0)</f>
        <v>1</v>
      </c>
      <c r="S43" s="17" t="s">
        <v>861</v>
      </c>
      <c r="T43" s="17" t="s">
        <v>862</v>
      </c>
      <c r="U43" s="17">
        <v>1</v>
      </c>
      <c r="V43" s="17" t="s">
        <v>863</v>
      </c>
      <c r="W43" s="17">
        <f t="shared" si="0"/>
        <v>1</v>
      </c>
      <c r="X43" s="17" t="s">
        <v>864</v>
      </c>
      <c r="Y43" s="17" t="s">
        <v>865</v>
      </c>
      <c r="Z43" s="17" t="s">
        <v>866</v>
      </c>
      <c r="AA43" s="17">
        <f t="shared" si="1"/>
        <v>1</v>
      </c>
      <c r="AB43" s="17" t="s">
        <v>867</v>
      </c>
      <c r="AC43" s="17">
        <f t="shared" si="2"/>
        <v>0</v>
      </c>
      <c r="AD43" s="17" t="s">
        <v>868</v>
      </c>
      <c r="AE43" s="17">
        <f t="shared" si="3"/>
        <v>0</v>
      </c>
      <c r="AF43" s="17" t="s">
        <v>869</v>
      </c>
      <c r="AG43" s="17" t="str">
        <f t="shared" si="4"/>
        <v>Methodological</v>
      </c>
      <c r="AH43" s="17" t="s">
        <v>870</v>
      </c>
      <c r="AI43" s="16">
        <f t="shared" si="5"/>
        <v>4</v>
      </c>
      <c r="AJ43" s="17"/>
    </row>
    <row r="44" spans="1:38" ht="250.1" customHeight="1" x14ac:dyDescent="0.5">
      <c r="A44" s="16">
        <v>43</v>
      </c>
      <c r="B44" s="17" t="s">
        <v>101</v>
      </c>
      <c r="C44" s="17" t="s">
        <v>871</v>
      </c>
      <c r="D44" s="17" t="s">
        <v>872</v>
      </c>
      <c r="E44" s="17" t="s">
        <v>873</v>
      </c>
      <c r="F44" s="17" t="s">
        <v>874</v>
      </c>
      <c r="G44" s="17" t="s">
        <v>875</v>
      </c>
      <c r="H44" s="17">
        <v>2020</v>
      </c>
      <c r="I44" s="17" t="s">
        <v>148</v>
      </c>
      <c r="J44" s="17" t="s">
        <v>876</v>
      </c>
      <c r="K44" s="17" t="s">
        <v>877</v>
      </c>
      <c r="L44" s="17">
        <v>38.1</v>
      </c>
      <c r="M44" s="17">
        <v>16</v>
      </c>
      <c r="N44" s="17" t="s">
        <v>878</v>
      </c>
      <c r="O44" s="17" t="s">
        <v>879</v>
      </c>
      <c r="P44" s="17" t="s">
        <v>880</v>
      </c>
      <c r="Q44" s="17" t="s">
        <v>881</v>
      </c>
      <c r="R44" s="17" cm="1">
        <f t="array" ref="R44">IF(AND(OR(ISNUMBER(SEARCH({"mzml","mzxml","mztab","mztab-m","mgf","mzdata","peakml","traml","mzidentml","pepxml","protxml","imzml","nmrml","fid","cnx","smiles","inchi","inchikey","sdf","mol","mol2","xyz","smi","pdb","mmcif","cif","fasta","fastq","gtf","sam","bam","vcf","csv","tsv","json","hdf5","h5ad","msp","ms","isa-tab","biom"},LOWER(P44)))),OR(ISNUMBER(SEARCH({"mzml","mzxml","mztab","mztab-m","mgf","msp","pepxml","protxml","mzidentml","idxml","featurexml","consensusxml","qcml","mzquantml","peakml","nmrml","massbank","smiles","inchi","inchikey","sdf","mol","smi","pdb","mmcif","cif","fasta","fastq","bam","vcf","genbank","gff","csv","tsv","json","xlsx","hdf5","h5ad","graphml","gml","isa-tab","blib","newick","onnx"},LOWER(Q44))))),1,0)</f>
        <v>0</v>
      </c>
      <c r="S44" s="17" t="s">
        <v>882</v>
      </c>
      <c r="T44" s="17" t="s">
        <v>160</v>
      </c>
      <c r="U44" s="17">
        <v>0</v>
      </c>
      <c r="V44" s="17" t="s">
        <v>883</v>
      </c>
      <c r="W44" s="17">
        <f t="shared" si="0"/>
        <v>1</v>
      </c>
      <c r="X44" s="17" t="s">
        <v>884</v>
      </c>
      <c r="Y44" s="17" t="s">
        <v>885</v>
      </c>
      <c r="Z44" s="17" t="s">
        <v>886</v>
      </c>
      <c r="AA44" s="17">
        <f t="shared" si="1"/>
        <v>1</v>
      </c>
      <c r="AB44" s="17" t="s">
        <v>160</v>
      </c>
      <c r="AC44" s="17">
        <f t="shared" si="2"/>
        <v>0</v>
      </c>
      <c r="AD44" s="17" t="s">
        <v>887</v>
      </c>
      <c r="AE44" s="17">
        <f t="shared" si="3"/>
        <v>0</v>
      </c>
      <c r="AF44" s="17" t="s">
        <v>888</v>
      </c>
      <c r="AG44" s="17" t="str">
        <f t="shared" si="4"/>
        <v>Clinical and Health</v>
      </c>
      <c r="AH44" s="17" t="s">
        <v>889</v>
      </c>
      <c r="AI44" s="16">
        <f t="shared" si="5"/>
        <v>2</v>
      </c>
      <c r="AJ44" s="17"/>
    </row>
    <row r="45" spans="1:38" ht="250.1" customHeight="1" x14ac:dyDescent="0.5">
      <c r="A45" s="16">
        <v>44</v>
      </c>
      <c r="B45" s="17" t="s">
        <v>101</v>
      </c>
      <c r="C45" s="17" t="s">
        <v>890</v>
      </c>
      <c r="D45" s="17" t="s">
        <v>891</v>
      </c>
      <c r="E45" s="17" t="s">
        <v>892</v>
      </c>
      <c r="F45" s="17" t="s">
        <v>893</v>
      </c>
      <c r="G45" s="17" t="s">
        <v>894</v>
      </c>
      <c r="H45" s="17">
        <v>2015</v>
      </c>
      <c r="I45" s="17" t="s">
        <v>41</v>
      </c>
      <c r="J45" s="17" t="s">
        <v>895</v>
      </c>
      <c r="K45" s="17" t="s">
        <v>370</v>
      </c>
      <c r="L45" s="17">
        <v>3.8</v>
      </c>
      <c r="M45" s="17">
        <v>124</v>
      </c>
      <c r="N45" s="17" t="s">
        <v>896</v>
      </c>
      <c r="O45" s="17" t="s">
        <v>897</v>
      </c>
      <c r="P45" s="17" t="s">
        <v>898</v>
      </c>
      <c r="Q45" s="17" t="s">
        <v>899</v>
      </c>
      <c r="R45" s="17" cm="1">
        <f t="array" ref="R45">IF(AND(OR(ISNUMBER(SEARCH({"mzml","mzxml","mztab","mztab-m","mgf","mzdata","peakml","traml","mzidentml","pepxml","protxml","imzml","nmrml","fid","cnx","smiles","inchi","inchikey","sdf","mol","mol2","xyz","smi","pdb","mmcif","cif","fasta","fastq","gtf","sam","bam","vcf","csv","tsv","json","hdf5","h5ad","msp","ms","isa-tab","biom"},LOWER(P45)))),OR(ISNUMBER(SEARCH({"mzml","mzxml","mztab","mztab-m","mgf","msp","pepxml","protxml","mzidentml","idxml","featurexml","consensusxml","qcml","mzquantml","peakml","nmrml","massbank","smiles","inchi","inchikey","sdf","mol","smi","pdb","mmcif","cif","fasta","fastq","bam","vcf","genbank","gff","csv","tsv","json","xlsx","hdf5","h5ad","graphml","gml","isa-tab","blib","newick","onnx"},LOWER(Q45))))),1,0)</f>
        <v>0</v>
      </c>
      <c r="S45" s="17" t="s">
        <v>900</v>
      </c>
      <c r="T45" s="17" t="s">
        <v>901</v>
      </c>
      <c r="U45" s="17">
        <v>1</v>
      </c>
      <c r="V45" s="17" t="s">
        <v>902</v>
      </c>
      <c r="W45" s="17">
        <f t="shared" si="0"/>
        <v>0</v>
      </c>
      <c r="X45" s="17" t="s">
        <v>903</v>
      </c>
      <c r="Y45" s="17" t="s">
        <v>904</v>
      </c>
      <c r="Z45" s="17" t="s">
        <v>160</v>
      </c>
      <c r="AA45" s="17">
        <f t="shared" si="1"/>
        <v>0</v>
      </c>
      <c r="AB45" s="17" t="s">
        <v>905</v>
      </c>
      <c r="AC45" s="17">
        <f t="shared" si="2"/>
        <v>1</v>
      </c>
      <c r="AD45" s="17" t="s">
        <v>906</v>
      </c>
      <c r="AE45" s="17">
        <f t="shared" si="3"/>
        <v>1</v>
      </c>
      <c r="AF45" s="17" t="s">
        <v>907</v>
      </c>
      <c r="AG45" s="17" t="str">
        <f t="shared" si="4"/>
        <v>Clinical and Health</v>
      </c>
      <c r="AH45" s="17" t="s">
        <v>908</v>
      </c>
      <c r="AI45" s="16">
        <f t="shared" si="5"/>
        <v>3</v>
      </c>
      <c r="AJ45" s="17"/>
    </row>
    <row r="46" spans="1:38" ht="250.1" customHeight="1" x14ac:dyDescent="0.5">
      <c r="A46" s="16">
        <v>45</v>
      </c>
      <c r="B46" s="17" t="s">
        <v>79</v>
      </c>
      <c r="C46" s="17" t="s">
        <v>909</v>
      </c>
      <c r="D46" s="17" t="s">
        <v>910</v>
      </c>
      <c r="E46" s="17" t="s">
        <v>911</v>
      </c>
      <c r="F46" s="17" t="s">
        <v>912</v>
      </c>
      <c r="G46" s="17" t="s">
        <v>913</v>
      </c>
      <c r="H46" s="17">
        <v>2020</v>
      </c>
      <c r="I46" s="17" t="s">
        <v>148</v>
      </c>
      <c r="J46" s="17" t="s">
        <v>914</v>
      </c>
      <c r="K46" s="17" t="s">
        <v>915</v>
      </c>
      <c r="L46" s="17">
        <v>2.2999999999999998</v>
      </c>
      <c r="M46" s="17">
        <v>89</v>
      </c>
      <c r="N46" s="17" t="s">
        <v>916</v>
      </c>
      <c r="O46" s="17" t="s">
        <v>917</v>
      </c>
      <c r="P46" s="17" t="s">
        <v>918</v>
      </c>
      <c r="Q46" s="17" t="s">
        <v>919</v>
      </c>
      <c r="R46" s="17" cm="1">
        <f t="array" ref="R46">IF(AND(OR(ISNUMBER(SEARCH({"mzml","mzxml","mztab","mztab-m","mgf","mzdata","peakml","traml","mzidentml","pepxml","protxml","imzml","nmrml","fid","cnx","smiles","inchi","inchikey","sdf","mol","mol2","xyz","smi","pdb","mmcif","cif","fasta","fastq","gtf","sam","bam","vcf","csv","tsv","json","hdf5","h5ad","msp","ms","isa-tab","biom"},LOWER(P46)))),OR(ISNUMBER(SEARCH({"mzml","mzxml","mztab","mztab-m","mgf","msp","pepxml","protxml","mzidentml","idxml","featurexml","consensusxml","qcml","mzquantml","peakml","nmrml","massbank","smiles","inchi","inchikey","sdf","mol","smi","pdb","mmcif","cif","fasta","fastq","bam","vcf","genbank","gff","csv","tsv","json","xlsx","hdf5","h5ad","graphml","gml","isa-tab","blib","newick","onnx"},LOWER(Q46))))),1,0)</f>
        <v>0</v>
      </c>
      <c r="S46" s="17" t="s">
        <v>920</v>
      </c>
      <c r="T46" s="17" t="s">
        <v>160</v>
      </c>
      <c r="U46" s="17">
        <v>0</v>
      </c>
      <c r="V46" s="17" t="s">
        <v>921</v>
      </c>
      <c r="W46" s="17">
        <f t="shared" si="0"/>
        <v>1</v>
      </c>
      <c r="X46" s="17" t="s">
        <v>922</v>
      </c>
      <c r="Y46" s="17" t="s">
        <v>160</v>
      </c>
      <c r="Z46" s="17" t="s">
        <v>160</v>
      </c>
      <c r="AA46" s="17">
        <f t="shared" si="1"/>
        <v>0</v>
      </c>
      <c r="AB46" s="17" t="s">
        <v>923</v>
      </c>
      <c r="AC46" s="17">
        <f t="shared" si="2"/>
        <v>1</v>
      </c>
      <c r="AD46" s="17" t="s">
        <v>924</v>
      </c>
      <c r="AE46" s="17">
        <f t="shared" si="3"/>
        <v>1</v>
      </c>
      <c r="AF46" s="17" t="s">
        <v>925</v>
      </c>
      <c r="AG46" s="17" t="str">
        <f t="shared" si="4"/>
        <v>Methodological</v>
      </c>
      <c r="AH46" s="17" t="s">
        <v>926</v>
      </c>
      <c r="AI46" s="16">
        <f t="shared" si="5"/>
        <v>3</v>
      </c>
      <c r="AJ46" s="17"/>
      <c r="AK46" s="22"/>
      <c r="AL46" s="22"/>
    </row>
    <row r="47" spans="1:38" ht="250.1" customHeight="1" x14ac:dyDescent="0.5">
      <c r="A47" s="16">
        <v>46</v>
      </c>
      <c r="B47" s="17" t="s">
        <v>79</v>
      </c>
      <c r="C47" s="17" t="s">
        <v>927</v>
      </c>
      <c r="D47" s="17" t="s">
        <v>928</v>
      </c>
      <c r="E47" s="17" t="s">
        <v>929</v>
      </c>
      <c r="F47" s="17" t="s">
        <v>930</v>
      </c>
      <c r="G47" s="17" t="s">
        <v>931</v>
      </c>
      <c r="H47" s="17">
        <v>2023</v>
      </c>
      <c r="I47" s="17" t="s">
        <v>534</v>
      </c>
      <c r="J47" s="17" t="s">
        <v>932</v>
      </c>
      <c r="K47" s="17" t="s">
        <v>86</v>
      </c>
      <c r="L47" s="17">
        <v>7.1</v>
      </c>
      <c r="M47" s="17">
        <v>25</v>
      </c>
      <c r="N47" s="17" t="s">
        <v>933</v>
      </c>
      <c r="O47" s="17" t="s">
        <v>934</v>
      </c>
      <c r="P47" s="17" t="s">
        <v>935</v>
      </c>
      <c r="Q47" s="17" t="s">
        <v>936</v>
      </c>
      <c r="R47" s="17" cm="1">
        <f t="array" ref="R47">IF(AND(OR(ISNUMBER(SEARCH({"mzml","mzxml","mztab","mztab-m","mgf","mzdata","peakml","traml","mzidentml","pepxml","protxml","imzml","nmrml","fid","cnx","smiles","inchi","inchikey","sdf","mol","mol2","xyz","smi","pdb","mmcif","cif","fasta","fastq","gtf","sam","bam","vcf","csv","tsv","json","hdf5","h5ad","msp","ms","isa-tab","biom"},LOWER(P47)))),OR(ISNUMBER(SEARCH({"mzml","mzxml","mztab","mztab-m","mgf","msp","pepxml","protxml","mzidentml","idxml","featurexml","consensusxml","qcml","mzquantml","peakml","nmrml","massbank","smiles","inchi","inchikey","sdf","mol","smi","pdb","mmcif","cif","fasta","fastq","bam","vcf","genbank","gff","csv","tsv","json","xlsx","hdf5","h5ad","graphml","gml","isa-tab","blib","newick","onnx"},LOWER(Q47))))),1,0)</f>
        <v>1</v>
      </c>
      <c r="S47" s="17" t="s">
        <v>937</v>
      </c>
      <c r="T47" s="17" t="s">
        <v>938</v>
      </c>
      <c r="U47" s="17">
        <v>1</v>
      </c>
      <c r="V47" s="17" t="s">
        <v>939</v>
      </c>
      <c r="W47" s="17">
        <f t="shared" si="0"/>
        <v>1</v>
      </c>
      <c r="X47" s="17" t="s">
        <v>940</v>
      </c>
      <c r="Y47" s="17" t="s">
        <v>941</v>
      </c>
      <c r="Z47" s="17" t="s">
        <v>942</v>
      </c>
      <c r="AA47" s="17">
        <f t="shared" si="1"/>
        <v>1</v>
      </c>
      <c r="AB47" s="17" t="s">
        <v>943</v>
      </c>
      <c r="AC47" s="17">
        <f t="shared" si="2"/>
        <v>1</v>
      </c>
      <c r="AD47" s="17" t="s">
        <v>944</v>
      </c>
      <c r="AE47" s="17">
        <f t="shared" si="3"/>
        <v>1</v>
      </c>
      <c r="AF47" s="17" t="s">
        <v>945</v>
      </c>
      <c r="AG47" s="17" t="str">
        <f t="shared" si="4"/>
        <v>Clinical and Health</v>
      </c>
      <c r="AH47" s="17" t="s">
        <v>946</v>
      </c>
      <c r="AI47" s="16">
        <f t="shared" si="5"/>
        <v>6</v>
      </c>
      <c r="AJ47" s="17"/>
      <c r="AK47" s="22"/>
      <c r="AL47" s="22"/>
    </row>
    <row r="48" spans="1:38" ht="250.1" customHeight="1" x14ac:dyDescent="0.5">
      <c r="A48" s="16">
        <v>47</v>
      </c>
      <c r="B48" s="17" t="s">
        <v>101</v>
      </c>
      <c r="C48" s="17" t="s">
        <v>947</v>
      </c>
      <c r="D48" s="17" t="s">
        <v>948</v>
      </c>
      <c r="E48" s="17" t="s">
        <v>949</v>
      </c>
      <c r="F48" s="17" t="s">
        <v>950</v>
      </c>
      <c r="G48" s="17" t="s">
        <v>951</v>
      </c>
      <c r="H48" s="17">
        <v>2023</v>
      </c>
      <c r="I48" s="17" t="s">
        <v>148</v>
      </c>
      <c r="J48" s="17" t="s">
        <v>952</v>
      </c>
      <c r="K48" s="17" t="s">
        <v>574</v>
      </c>
      <c r="L48" s="17">
        <v>16.600000000000001</v>
      </c>
      <c r="M48" s="17">
        <v>6</v>
      </c>
      <c r="N48" s="17" t="s">
        <v>953</v>
      </c>
      <c r="O48" s="17" t="s">
        <v>954</v>
      </c>
      <c r="P48" s="17" t="s">
        <v>955</v>
      </c>
      <c r="Q48" s="17" t="s">
        <v>956</v>
      </c>
      <c r="R48" s="17" cm="1">
        <f t="array" ref="R48">IF(AND(OR(ISNUMBER(SEARCH({"mzml","mzxml","mztab","mztab-m","mgf","mzdata","peakml","traml","mzidentml","pepxml","protxml","imzml","nmrml","fid","cnx","smiles","inchi","inchikey","sdf","mol","mol2","xyz","smi","pdb","mmcif","cif","fasta","fastq","gtf","sam","bam","vcf","csv","tsv","json","hdf5","h5ad","msp","ms","isa-tab","biom"},LOWER(P48)))),OR(ISNUMBER(SEARCH({"mzml","mzxml","mztab","mztab-m","mgf","msp","pepxml","protxml","mzidentml","idxml","featurexml","consensusxml","qcml","mzquantml","peakml","nmrml","massbank","smiles","inchi","inchikey","sdf","mol","smi","pdb","mmcif","cif","fasta","fastq","bam","vcf","genbank","gff","csv","tsv","json","xlsx","hdf5","h5ad","graphml","gml","isa-tab","blib","newick","onnx"},LOWER(Q48))))),1,0)</f>
        <v>0</v>
      </c>
      <c r="S48" s="17" t="s">
        <v>957</v>
      </c>
      <c r="T48" s="17" t="s">
        <v>160</v>
      </c>
      <c r="U48" s="17">
        <v>0</v>
      </c>
      <c r="V48" s="17" t="s">
        <v>958</v>
      </c>
      <c r="W48" s="17">
        <f t="shared" si="0"/>
        <v>1</v>
      </c>
      <c r="X48" s="17" t="s">
        <v>959</v>
      </c>
      <c r="Y48" s="17" t="s">
        <v>160</v>
      </c>
      <c r="Z48" s="17" t="s">
        <v>960</v>
      </c>
      <c r="AA48" s="17">
        <f t="shared" si="1"/>
        <v>1</v>
      </c>
      <c r="AB48" s="17" t="s">
        <v>160</v>
      </c>
      <c r="AC48" s="17">
        <f t="shared" si="2"/>
        <v>0</v>
      </c>
      <c r="AD48" s="17" t="s">
        <v>961</v>
      </c>
      <c r="AE48" s="17">
        <f t="shared" si="3"/>
        <v>0</v>
      </c>
      <c r="AF48" s="17" t="s">
        <v>962</v>
      </c>
      <c r="AG48" s="17" t="str">
        <f t="shared" si="4"/>
        <v>Methodological</v>
      </c>
      <c r="AH48" s="17" t="s">
        <v>963</v>
      </c>
      <c r="AI48" s="16">
        <f t="shared" si="5"/>
        <v>2</v>
      </c>
      <c r="AJ48" s="17"/>
    </row>
    <row r="49" spans="1:38" ht="250.1" customHeight="1" x14ac:dyDescent="0.5">
      <c r="A49" s="16">
        <v>48</v>
      </c>
      <c r="B49" s="17" t="s">
        <v>79</v>
      </c>
      <c r="C49" s="17" t="s">
        <v>964</v>
      </c>
      <c r="D49" s="17" t="s">
        <v>965</v>
      </c>
      <c r="E49" s="17" t="s">
        <v>966</v>
      </c>
      <c r="F49" s="17" t="s">
        <v>967</v>
      </c>
      <c r="G49" s="17" t="s">
        <v>968</v>
      </c>
      <c r="H49" s="17">
        <v>2015</v>
      </c>
      <c r="I49" s="17" t="s">
        <v>148</v>
      </c>
      <c r="J49" s="17" t="s">
        <v>969</v>
      </c>
      <c r="K49" s="17" t="s">
        <v>574</v>
      </c>
      <c r="L49" s="17">
        <v>16.600000000000001</v>
      </c>
      <c r="M49" s="17">
        <v>2938</v>
      </c>
      <c r="N49" s="17" t="s">
        <v>970</v>
      </c>
      <c r="O49" s="17" t="s">
        <v>971</v>
      </c>
      <c r="P49" s="17" t="s">
        <v>972</v>
      </c>
      <c r="Q49" s="17" t="s">
        <v>973</v>
      </c>
      <c r="R49" s="17" cm="1">
        <f t="array" ref="R49">IF(AND(OR(ISNUMBER(SEARCH({"mzml","mzxml","mztab","mztab-m","mgf","mzdata","peakml","traml","mzidentml","pepxml","protxml","imzml","nmrml","fid","cnx","smiles","inchi","inchikey","sdf","mol","mol2","xyz","smi","pdb","mmcif","cif","fasta","fastq","gtf","sam","bam","vcf","csv","tsv","json","hdf5","h5ad","msp","ms","isa-tab","biom"},LOWER(P49)))),OR(ISNUMBER(SEARCH({"mzml","mzxml","mztab","mztab-m","mgf","msp","pepxml","protxml","mzidentml","idxml","featurexml","consensusxml","qcml","mzquantml","peakml","nmrml","massbank","smiles","inchi","inchikey","sdf","mol","smi","pdb","mmcif","cif","fasta","fastq","bam","vcf","genbank","gff","csv","tsv","json","xlsx","hdf5","h5ad","graphml","gml","isa-tab","blib","newick","onnx"},LOWER(Q49))))),1,0)</f>
        <v>0</v>
      </c>
      <c r="S49" s="17" t="s">
        <v>974</v>
      </c>
      <c r="T49" s="17" t="s">
        <v>975</v>
      </c>
      <c r="U49" s="17">
        <v>0</v>
      </c>
      <c r="V49" s="17" t="s">
        <v>976</v>
      </c>
      <c r="W49" s="17">
        <f t="shared" si="0"/>
        <v>1</v>
      </c>
      <c r="X49" s="17" t="s">
        <v>977</v>
      </c>
      <c r="Y49" s="17" t="s">
        <v>321</v>
      </c>
      <c r="Z49" s="17" t="s">
        <v>978</v>
      </c>
      <c r="AA49" s="17">
        <f t="shared" si="1"/>
        <v>1</v>
      </c>
      <c r="AB49" s="17" t="s">
        <v>160</v>
      </c>
      <c r="AC49" s="17">
        <f t="shared" si="2"/>
        <v>0</v>
      </c>
      <c r="AD49" s="17" t="s">
        <v>979</v>
      </c>
      <c r="AE49" s="17">
        <f t="shared" si="3"/>
        <v>0</v>
      </c>
      <c r="AF49" s="17" t="s">
        <v>980</v>
      </c>
      <c r="AG49" s="17" t="str">
        <f t="shared" si="4"/>
        <v>Clinical and Health</v>
      </c>
      <c r="AH49" s="17" t="s">
        <v>981</v>
      </c>
      <c r="AI49" s="16">
        <f t="shared" si="5"/>
        <v>2</v>
      </c>
      <c r="AJ49" s="17"/>
    </row>
    <row r="50" spans="1:38" ht="250.1" customHeight="1" x14ac:dyDescent="0.5">
      <c r="A50" s="16">
        <v>49</v>
      </c>
      <c r="B50" s="17" t="s">
        <v>101</v>
      </c>
      <c r="C50" s="17" t="s">
        <v>982</v>
      </c>
      <c r="D50" s="17" t="s">
        <v>983</v>
      </c>
      <c r="E50" s="17" t="s">
        <v>984</v>
      </c>
      <c r="F50" s="17" t="s">
        <v>985</v>
      </c>
      <c r="G50" s="17" t="s">
        <v>986</v>
      </c>
      <c r="H50" s="17">
        <v>2018</v>
      </c>
      <c r="I50" s="17" t="s">
        <v>148</v>
      </c>
      <c r="J50" s="17" t="s">
        <v>987</v>
      </c>
      <c r="K50" s="17" t="s">
        <v>43</v>
      </c>
      <c r="L50" s="17">
        <v>4.4000000000000004</v>
      </c>
      <c r="M50" s="17">
        <v>635</v>
      </c>
      <c r="N50" s="17" t="s">
        <v>988</v>
      </c>
      <c r="O50" s="17" t="s">
        <v>989</v>
      </c>
      <c r="P50" s="17" t="s">
        <v>990</v>
      </c>
      <c r="Q50" s="17" t="s">
        <v>991</v>
      </c>
      <c r="R50" s="17" cm="1">
        <f t="array" ref="R50">IF(AND(OR(ISNUMBER(SEARCH({"mzml","mzxml","mztab","mztab-m","mgf","mzdata","peakml","traml","mzidentml","pepxml","protxml","imzml","nmrml","fid","cnx","smiles","inchi","inchikey","sdf","mol","mol2","xyz","smi","pdb","mmcif","cif","fasta","fastq","gtf","sam","bam","vcf","csv","tsv","json","hdf5","h5ad","msp","ms","isa-tab","biom"},LOWER(P50)))),OR(ISNUMBER(SEARCH({"mzml","mzxml","mztab","mztab-m","mgf","msp","pepxml","protxml","mzidentml","idxml","featurexml","consensusxml","qcml","mzquantml","peakml","nmrml","massbank","smiles","inchi","inchikey","sdf","mol","smi","pdb","mmcif","cif","fasta","fastq","bam","vcf","genbank","gff","csv","tsv","json","xlsx","hdf5","h5ad","graphml","gml","isa-tab","blib","newick","onnx"},LOWER(Q50))))),1,0)</f>
        <v>0</v>
      </c>
      <c r="S50" s="17" t="s">
        <v>992</v>
      </c>
      <c r="T50" s="17" t="s">
        <v>160</v>
      </c>
      <c r="U50" s="17">
        <v>0</v>
      </c>
      <c r="V50" s="17" t="s">
        <v>993</v>
      </c>
      <c r="W50" s="17">
        <f t="shared" si="0"/>
        <v>0</v>
      </c>
      <c r="X50" s="17" t="s">
        <v>994</v>
      </c>
      <c r="Y50" s="17" t="s">
        <v>160</v>
      </c>
      <c r="Z50" s="17" t="s">
        <v>160</v>
      </c>
      <c r="AA50" s="17">
        <f t="shared" si="1"/>
        <v>0</v>
      </c>
      <c r="AB50" s="17" t="s">
        <v>995</v>
      </c>
      <c r="AC50" s="17">
        <f t="shared" si="2"/>
        <v>1</v>
      </c>
      <c r="AD50" s="17" t="s">
        <v>996</v>
      </c>
      <c r="AE50" s="17">
        <f t="shared" si="3"/>
        <v>1</v>
      </c>
      <c r="AF50" s="17" t="s">
        <v>997</v>
      </c>
      <c r="AG50" s="17" t="str">
        <f t="shared" si="4"/>
        <v>Methodological</v>
      </c>
      <c r="AH50" s="17" t="s">
        <v>998</v>
      </c>
      <c r="AI50" s="16">
        <f t="shared" si="5"/>
        <v>2</v>
      </c>
      <c r="AJ50" s="17"/>
    </row>
    <row r="51" spans="1:38" ht="250.1" customHeight="1" x14ac:dyDescent="0.5">
      <c r="A51" s="16">
        <v>50</v>
      </c>
      <c r="B51" s="17" t="s">
        <v>101</v>
      </c>
      <c r="C51" s="17" t="s">
        <v>999</v>
      </c>
      <c r="D51" s="17" t="s">
        <v>1000</v>
      </c>
      <c r="E51" s="17" t="s">
        <v>1001</v>
      </c>
      <c r="F51" s="17" t="s">
        <v>1002</v>
      </c>
      <c r="G51" s="17" t="s">
        <v>1003</v>
      </c>
      <c r="H51" s="17">
        <v>2022</v>
      </c>
      <c r="I51" s="17" t="s">
        <v>534</v>
      </c>
      <c r="J51" s="17" t="s">
        <v>1004</v>
      </c>
      <c r="K51" s="17" t="s">
        <v>273</v>
      </c>
      <c r="L51" s="17">
        <v>6.8</v>
      </c>
      <c r="M51" s="17">
        <v>36</v>
      </c>
      <c r="N51" s="17" t="s">
        <v>1005</v>
      </c>
      <c r="O51" s="17" t="s">
        <v>1006</v>
      </c>
      <c r="P51" s="17" t="s">
        <v>1007</v>
      </c>
      <c r="Q51" s="17" t="s">
        <v>1008</v>
      </c>
      <c r="R51" s="17" cm="1">
        <f t="array" ref="R51">IF(AND(OR(ISNUMBER(SEARCH({"mzml","mzxml","mztab","mztab-m","mgf","mzdata","peakml","traml","mzidentml","pepxml","protxml","imzml","nmrml","fid","cnx","smiles","inchi","inchikey","sdf","mol","mol2","xyz","smi","pdb","mmcif","cif","fasta","fastq","gtf","sam","bam","vcf","csv","tsv","json","hdf5","h5ad","msp","ms","isa-tab","biom"},LOWER(P51)))),OR(ISNUMBER(SEARCH({"mzml","mzxml","mztab","mztab-m","mgf","msp","pepxml","protxml","mzidentml","idxml","featurexml","consensusxml","qcml","mzquantml","peakml","nmrml","massbank","smiles","inchi","inchikey","sdf","mol","smi","pdb","mmcif","cif","fasta","fastq","bam","vcf","genbank","gff","csv","tsv","json","xlsx","hdf5","h5ad","graphml","gml","isa-tab","blib","newick","onnx"},LOWER(Q51))))),1,0)</f>
        <v>1</v>
      </c>
      <c r="S51" s="17" t="s">
        <v>1009</v>
      </c>
      <c r="T51" s="17" t="s">
        <v>1010</v>
      </c>
      <c r="U51" s="17">
        <v>1</v>
      </c>
      <c r="V51" s="17" t="s">
        <v>1011</v>
      </c>
      <c r="W51" s="17">
        <f t="shared" si="0"/>
        <v>1</v>
      </c>
      <c r="X51" s="17" t="s">
        <v>1012</v>
      </c>
      <c r="Y51" s="17" t="s">
        <v>1013</v>
      </c>
      <c r="Z51" s="17" t="s">
        <v>1014</v>
      </c>
      <c r="AA51" s="17">
        <f t="shared" si="1"/>
        <v>1</v>
      </c>
      <c r="AB51" s="17" t="s">
        <v>1015</v>
      </c>
      <c r="AC51" s="17">
        <f t="shared" si="2"/>
        <v>1</v>
      </c>
      <c r="AD51" s="17" t="s">
        <v>221</v>
      </c>
      <c r="AE51" s="17">
        <f t="shared" si="3"/>
        <v>0</v>
      </c>
      <c r="AF51" s="17" t="s">
        <v>1016</v>
      </c>
      <c r="AG51" s="17" t="str">
        <f t="shared" si="4"/>
        <v>Clinical and Health</v>
      </c>
      <c r="AH51" s="17" t="s">
        <v>1017</v>
      </c>
      <c r="AI51" s="16">
        <f t="shared" si="5"/>
        <v>5</v>
      </c>
      <c r="AJ51" s="17"/>
      <c r="AK51" s="22"/>
      <c r="AL51" s="22"/>
    </row>
    <row r="52" spans="1:38" ht="250.1" customHeight="1" x14ac:dyDescent="0.5">
      <c r="A52" s="16">
        <v>51</v>
      </c>
      <c r="B52" s="17" t="s">
        <v>101</v>
      </c>
      <c r="C52" s="17" t="s">
        <v>1018</v>
      </c>
      <c r="D52" s="17" t="s">
        <v>1019</v>
      </c>
      <c r="E52" s="17" t="s">
        <v>1020</v>
      </c>
      <c r="F52" s="17" t="s">
        <v>1021</v>
      </c>
      <c r="G52" s="17" t="s">
        <v>1022</v>
      </c>
      <c r="H52" s="17">
        <v>2020</v>
      </c>
      <c r="I52" s="17" t="s">
        <v>41</v>
      </c>
      <c r="J52" s="17" t="s">
        <v>1023</v>
      </c>
      <c r="K52" s="17" t="s">
        <v>1024</v>
      </c>
      <c r="L52" s="17">
        <v>3</v>
      </c>
      <c r="M52" s="17">
        <v>16</v>
      </c>
      <c r="N52" s="17" t="s">
        <v>1025</v>
      </c>
      <c r="O52" s="17" t="s">
        <v>1026</v>
      </c>
      <c r="P52" s="17" t="s">
        <v>1027</v>
      </c>
      <c r="Q52" s="17" t="s">
        <v>1028</v>
      </c>
      <c r="R52" s="17" cm="1">
        <f t="array" ref="R52">IF(AND(OR(ISNUMBER(SEARCH({"mzml","mzxml","mztab","mztab-m","mgf","mzdata","peakml","traml","mzidentml","pepxml","protxml","imzml","nmrml","fid","cnx","smiles","inchi","inchikey","sdf","mol","mol2","xyz","smi","pdb","mmcif","cif","fasta","fastq","gtf","sam","bam","vcf","csv","tsv","json","hdf5","h5ad","msp","ms","isa-tab","biom"},LOWER(P52)))),OR(ISNUMBER(SEARCH({"mzml","mzxml","mztab","mztab-m","mgf","msp","pepxml","protxml","mzidentml","idxml","featurexml","consensusxml","qcml","mzquantml","peakml","nmrml","massbank","smiles","inchi","inchikey","sdf","mol","smi","pdb","mmcif","cif","fasta","fastq","bam","vcf","genbank","gff","csv","tsv","json","xlsx","hdf5","h5ad","graphml","gml","isa-tab","blib","newick","onnx"},LOWER(Q52))))),1,0)</f>
        <v>1</v>
      </c>
      <c r="S52" s="17" t="s">
        <v>1029</v>
      </c>
      <c r="T52" s="17" t="s">
        <v>1030</v>
      </c>
      <c r="U52" s="17">
        <v>0</v>
      </c>
      <c r="V52" s="17" t="s">
        <v>1031</v>
      </c>
      <c r="W52" s="17">
        <f t="shared" si="0"/>
        <v>1</v>
      </c>
      <c r="X52" s="17" t="s">
        <v>1032</v>
      </c>
      <c r="Y52" s="17" t="s">
        <v>1033</v>
      </c>
      <c r="Z52" s="17" t="s">
        <v>1034</v>
      </c>
      <c r="AA52" s="17">
        <f t="shared" si="1"/>
        <v>1</v>
      </c>
      <c r="AB52" s="17" t="s">
        <v>1035</v>
      </c>
      <c r="AC52" s="17">
        <f t="shared" si="2"/>
        <v>1</v>
      </c>
      <c r="AD52" s="17" t="s">
        <v>1036</v>
      </c>
      <c r="AE52" s="17">
        <f t="shared" si="3"/>
        <v>0</v>
      </c>
      <c r="AF52" s="17" t="s">
        <v>1037</v>
      </c>
      <c r="AG52" s="17" t="str">
        <f t="shared" si="4"/>
        <v>Clinical and Health</v>
      </c>
      <c r="AH52" s="17" t="s">
        <v>1038</v>
      </c>
      <c r="AI52" s="16">
        <f t="shared" si="5"/>
        <v>4</v>
      </c>
      <c r="AJ52" s="17"/>
    </row>
    <row r="53" spans="1:38" ht="250.1" customHeight="1" x14ac:dyDescent="0.5">
      <c r="A53" s="16">
        <v>52</v>
      </c>
      <c r="B53" s="17" t="s">
        <v>79</v>
      </c>
      <c r="C53" s="17" t="s">
        <v>1039</v>
      </c>
      <c r="D53" s="17" t="s">
        <v>1040</v>
      </c>
      <c r="E53" s="17" t="s">
        <v>1041</v>
      </c>
      <c r="F53" s="17" t="s">
        <v>1042</v>
      </c>
      <c r="G53" s="17" t="s">
        <v>1043</v>
      </c>
      <c r="H53" s="17">
        <v>2014</v>
      </c>
      <c r="I53" s="17" t="s">
        <v>1044</v>
      </c>
      <c r="J53" s="17" t="s">
        <v>1045</v>
      </c>
      <c r="K53" s="17" t="s">
        <v>1046</v>
      </c>
      <c r="L53" s="17">
        <v>4.3</v>
      </c>
      <c r="M53" s="17">
        <v>39</v>
      </c>
      <c r="N53" s="17" t="s">
        <v>1047</v>
      </c>
      <c r="O53" s="17" t="s">
        <v>1048</v>
      </c>
      <c r="P53" s="17" t="s">
        <v>1049</v>
      </c>
      <c r="Q53" s="17" t="s">
        <v>1050</v>
      </c>
      <c r="R53" s="17" cm="1">
        <f t="array" ref="R53">IF(AND(OR(ISNUMBER(SEARCH({"mzml","mzxml","mztab","mztab-m","mgf","mzdata","peakml","traml","mzidentml","pepxml","protxml","imzml","nmrml","fid","cnx","smiles","inchi","inchikey","sdf","mol","mol2","xyz","smi","pdb","mmcif","cif","fasta","fastq","gtf","sam","bam","vcf","csv","tsv","json","hdf5","h5ad","msp","ms","isa-tab","biom"},LOWER(P53)))),OR(ISNUMBER(SEARCH({"mzml","mzxml","mztab","mztab-m","mgf","msp","pepxml","protxml","mzidentml","idxml","featurexml","consensusxml","qcml","mzquantml","peakml","nmrml","massbank","smiles","inchi","inchikey","sdf","mol","smi","pdb","mmcif","cif","fasta","fastq","bam","vcf","genbank","gff","csv","tsv","json","xlsx","hdf5","h5ad","graphml","gml","isa-tab","blib","newick","onnx"},LOWER(Q53))))),1,0)</f>
        <v>1</v>
      </c>
      <c r="S53" s="17" t="s">
        <v>1051</v>
      </c>
      <c r="T53" s="17" t="s">
        <v>1052</v>
      </c>
      <c r="U53" s="17">
        <v>0</v>
      </c>
      <c r="V53" s="17" t="s">
        <v>1053</v>
      </c>
      <c r="W53" s="17">
        <f t="shared" si="0"/>
        <v>1</v>
      </c>
      <c r="X53" s="17" t="s">
        <v>1054</v>
      </c>
      <c r="Y53" s="17" t="s">
        <v>1055</v>
      </c>
      <c r="Z53" s="17" t="s">
        <v>1056</v>
      </c>
      <c r="AA53" s="17">
        <f t="shared" si="1"/>
        <v>1</v>
      </c>
      <c r="AB53" s="17" t="s">
        <v>1057</v>
      </c>
      <c r="AC53" s="17">
        <f t="shared" si="2"/>
        <v>1</v>
      </c>
      <c r="AD53" s="17" t="s">
        <v>1058</v>
      </c>
      <c r="AE53" s="17">
        <f t="shared" si="3"/>
        <v>1</v>
      </c>
      <c r="AF53" s="17" t="s">
        <v>1059</v>
      </c>
      <c r="AG53" s="17" t="str">
        <f t="shared" si="4"/>
        <v>Methodological</v>
      </c>
      <c r="AH53" s="17" t="s">
        <v>1060</v>
      </c>
      <c r="AI53" s="16">
        <f t="shared" si="5"/>
        <v>5</v>
      </c>
      <c r="AJ53" s="17"/>
    </row>
    <row r="54" spans="1:38" ht="250.1" customHeight="1" x14ac:dyDescent="0.5">
      <c r="A54" s="16">
        <v>53</v>
      </c>
      <c r="B54" s="17" t="s">
        <v>79</v>
      </c>
      <c r="C54" s="17" t="s">
        <v>1061</v>
      </c>
      <c r="D54" s="17" t="s">
        <v>1062</v>
      </c>
      <c r="E54" s="17" t="s">
        <v>1063</v>
      </c>
      <c r="F54" s="17" t="s">
        <v>1064</v>
      </c>
      <c r="G54" s="17" t="s">
        <v>1065</v>
      </c>
      <c r="H54" s="17">
        <v>2010</v>
      </c>
      <c r="I54" s="17" t="s">
        <v>148</v>
      </c>
      <c r="J54" s="17" t="s">
        <v>1066</v>
      </c>
      <c r="K54" s="17" t="s">
        <v>273</v>
      </c>
      <c r="L54" s="17">
        <v>6.7</v>
      </c>
      <c r="M54" s="17">
        <v>845</v>
      </c>
      <c r="N54" s="17" t="s">
        <v>1067</v>
      </c>
      <c r="O54" s="17" t="s">
        <v>1068</v>
      </c>
      <c r="P54" s="17" t="s">
        <v>1069</v>
      </c>
      <c r="Q54" s="17" t="s">
        <v>1070</v>
      </c>
      <c r="R54" s="17" cm="1">
        <f t="array" ref="R54">IF(AND(OR(ISNUMBER(SEARCH({"mzml","mzxml","mztab","mztab-m","mgf","mzdata","peakml","traml","mzidentml","pepxml","protxml","imzml","nmrml","fid","cnx","smiles","inchi","inchikey","sdf","mol","mol2","xyz","smi","pdb","mmcif","cif","fasta","fastq","gtf","sam","bam","vcf","csv","tsv","json","hdf5","h5ad","msp","ms","isa-tab","biom"},LOWER(P54)))),OR(ISNUMBER(SEARCH({"mzml","mzxml","mztab","mztab-m","mgf","msp","pepxml","protxml","mzidentml","idxml","featurexml","consensusxml","qcml","mzquantml","peakml","nmrml","massbank","smiles","inchi","inchikey","sdf","mol","smi","pdb","mmcif","cif","fasta","fastq","bam","vcf","genbank","gff","csv","tsv","json","xlsx","hdf5","h5ad","graphml","gml","isa-tab","blib","newick","onnx"},LOWER(Q54))))),1,0)</f>
        <v>1</v>
      </c>
      <c r="S54" s="17" t="s">
        <v>1071</v>
      </c>
      <c r="T54" s="17" t="s">
        <v>1072</v>
      </c>
      <c r="U54" s="17">
        <v>0</v>
      </c>
      <c r="V54" s="17" t="s">
        <v>1073</v>
      </c>
      <c r="W54" s="17">
        <f t="shared" si="0"/>
        <v>0</v>
      </c>
      <c r="X54" s="17" t="s">
        <v>1074</v>
      </c>
      <c r="Y54" s="17" t="s">
        <v>1075</v>
      </c>
      <c r="Z54" s="17" t="s">
        <v>1076</v>
      </c>
      <c r="AA54" s="17">
        <f t="shared" si="1"/>
        <v>1</v>
      </c>
      <c r="AB54" s="17" t="s">
        <v>160</v>
      </c>
      <c r="AC54" s="17">
        <f t="shared" si="2"/>
        <v>0</v>
      </c>
      <c r="AD54" s="17" t="s">
        <v>1077</v>
      </c>
      <c r="AE54" s="17">
        <f t="shared" si="3"/>
        <v>0</v>
      </c>
      <c r="AF54" s="17" t="s">
        <v>1078</v>
      </c>
      <c r="AG54" s="17" t="str">
        <f t="shared" si="4"/>
        <v>Methodological</v>
      </c>
      <c r="AH54" s="17" t="s">
        <v>1079</v>
      </c>
      <c r="AI54" s="16">
        <f t="shared" si="5"/>
        <v>2</v>
      </c>
      <c r="AJ54" s="17"/>
    </row>
    <row r="55" spans="1:38" ht="250.1" customHeight="1" x14ac:dyDescent="0.5">
      <c r="A55" s="16">
        <v>54</v>
      </c>
      <c r="B55" s="17" t="s">
        <v>35</v>
      </c>
      <c r="C55" s="17" t="s">
        <v>1080</v>
      </c>
      <c r="D55" s="17" t="s">
        <v>1081</v>
      </c>
      <c r="E55" s="17" t="s">
        <v>1082</v>
      </c>
      <c r="F55" s="17" t="s">
        <v>1083</v>
      </c>
      <c r="G55" s="17" t="s">
        <v>1084</v>
      </c>
      <c r="H55" s="17">
        <v>2019</v>
      </c>
      <c r="I55" s="17" t="s">
        <v>148</v>
      </c>
      <c r="J55" s="17" t="s">
        <v>1085</v>
      </c>
      <c r="K55" s="17" t="s">
        <v>411</v>
      </c>
      <c r="L55" s="17" t="s">
        <v>252</v>
      </c>
      <c r="M55" s="17">
        <v>57</v>
      </c>
      <c r="N55" s="17" t="s">
        <v>1086</v>
      </c>
      <c r="O55" s="17" t="s">
        <v>1087</v>
      </c>
      <c r="P55" s="17" t="s">
        <v>1088</v>
      </c>
      <c r="Q55" s="17" t="s">
        <v>1089</v>
      </c>
      <c r="R55" s="17" cm="1">
        <f t="array" ref="R55">IF(AND(OR(ISNUMBER(SEARCH({"mzml","mzxml","mztab","mztab-m","mgf","mzdata","peakml","traml","mzidentml","pepxml","protxml","imzml","nmrml","fid","cnx","smiles","inchi","inchikey","sdf","mol","mol2","xyz","smi","pdb","mmcif","cif","fasta","fastq","gtf","sam","bam","vcf","csv","tsv","json","hdf5","h5ad","msp","ms","isa-tab","biom"},LOWER(P55)))),OR(ISNUMBER(SEARCH({"mzml","mzxml","mztab","mztab-m","mgf","msp","pepxml","protxml","mzidentml","idxml","featurexml","consensusxml","qcml","mzquantml","peakml","nmrml","massbank","smiles","inchi","inchikey","sdf","mol","smi","pdb","mmcif","cif","fasta","fastq","bam","vcf","genbank","gff","csv","tsv","json","xlsx","hdf5","h5ad","graphml","gml","isa-tab","blib","newick","onnx"},LOWER(Q55))))),1,0)</f>
        <v>1</v>
      </c>
      <c r="S55" s="17" t="s">
        <v>1090</v>
      </c>
      <c r="T55" s="17" t="s">
        <v>1091</v>
      </c>
      <c r="U55" s="17">
        <v>1</v>
      </c>
      <c r="V55" s="17" t="s">
        <v>1092</v>
      </c>
      <c r="W55" s="17">
        <f t="shared" si="0"/>
        <v>1</v>
      </c>
      <c r="X55" s="17" t="s">
        <v>1093</v>
      </c>
      <c r="Y55" s="17" t="s">
        <v>1094</v>
      </c>
      <c r="Z55" s="17" t="s">
        <v>1095</v>
      </c>
      <c r="AA55" s="17">
        <f t="shared" si="1"/>
        <v>1</v>
      </c>
      <c r="AB55" s="17" t="s">
        <v>1096</v>
      </c>
      <c r="AC55" s="17">
        <f t="shared" si="2"/>
        <v>1</v>
      </c>
      <c r="AD55" s="17" t="s">
        <v>1097</v>
      </c>
      <c r="AE55" s="17">
        <f t="shared" si="3"/>
        <v>0</v>
      </c>
      <c r="AF55" s="17" t="s">
        <v>1098</v>
      </c>
      <c r="AG55" s="17" t="str">
        <f t="shared" si="4"/>
        <v>Clinical and Health</v>
      </c>
      <c r="AH55" s="17" t="s">
        <v>1099</v>
      </c>
      <c r="AI55" s="16">
        <f t="shared" si="5"/>
        <v>5</v>
      </c>
      <c r="AJ55" s="17"/>
    </row>
    <row r="56" spans="1:38" ht="250.1" customHeight="1" x14ac:dyDescent="0.5">
      <c r="A56" s="16">
        <v>55</v>
      </c>
      <c r="B56" s="17" t="s">
        <v>35</v>
      </c>
      <c r="C56" s="17" t="s">
        <v>1100</v>
      </c>
      <c r="D56" s="17" t="s">
        <v>1101</v>
      </c>
      <c r="E56" s="17" t="s">
        <v>1102</v>
      </c>
      <c r="F56" s="17" t="s">
        <v>1103</v>
      </c>
      <c r="G56" s="17" t="s">
        <v>1104</v>
      </c>
      <c r="H56" s="17">
        <v>2017</v>
      </c>
      <c r="I56" s="17" t="s">
        <v>148</v>
      </c>
      <c r="J56" s="17" t="s">
        <v>1105</v>
      </c>
      <c r="K56" s="17" t="s">
        <v>1106</v>
      </c>
      <c r="L56" s="17">
        <v>2.9</v>
      </c>
      <c r="M56" s="17">
        <v>572</v>
      </c>
      <c r="N56" s="17" t="s">
        <v>1107</v>
      </c>
      <c r="O56" s="17" t="s">
        <v>1108</v>
      </c>
      <c r="P56" s="17" t="s">
        <v>1109</v>
      </c>
      <c r="Q56" s="17" t="s">
        <v>1110</v>
      </c>
      <c r="R56" s="17" cm="1">
        <f t="array" ref="R56">IF(AND(OR(ISNUMBER(SEARCH({"mzml","mzxml","mztab","mztab-m","mgf","mzdata","peakml","traml","mzidentml","pepxml","protxml","imzml","nmrml","fid","cnx","smiles","inchi","inchikey","sdf","mol","mol2","xyz","smi","pdb","mmcif","cif","fasta","fastq","gtf","sam","bam","vcf","csv","tsv","json","hdf5","h5ad","msp","ms","isa-tab","biom"},LOWER(P56)))),OR(ISNUMBER(SEARCH({"mzml","mzxml","mztab","mztab-m","mgf","msp","pepxml","protxml","mzidentml","idxml","featurexml","consensusxml","qcml","mzquantml","peakml","nmrml","massbank","smiles","inchi","inchikey","sdf","mol","smi","pdb","mmcif","cif","fasta","fastq","bam","vcf","genbank","gff","csv","tsv","json","xlsx","hdf5","h5ad","graphml","gml","isa-tab","blib","newick","onnx"},LOWER(Q56))))),1,0)</f>
        <v>1</v>
      </c>
      <c r="S56" s="17" t="s">
        <v>1111</v>
      </c>
      <c r="T56" s="17" t="s">
        <v>1112</v>
      </c>
      <c r="U56" s="17">
        <v>1</v>
      </c>
      <c r="V56" s="17" t="s">
        <v>1113</v>
      </c>
      <c r="W56" s="17">
        <f t="shared" si="0"/>
        <v>1</v>
      </c>
      <c r="X56" s="17" t="s">
        <v>1114</v>
      </c>
      <c r="Y56" s="17" t="s">
        <v>1115</v>
      </c>
      <c r="Z56" s="17" t="s">
        <v>1116</v>
      </c>
      <c r="AA56" s="17">
        <f t="shared" si="1"/>
        <v>1</v>
      </c>
      <c r="AB56" s="17" t="s">
        <v>160</v>
      </c>
      <c r="AC56" s="17">
        <f t="shared" si="2"/>
        <v>0</v>
      </c>
      <c r="AD56" s="17" t="s">
        <v>1117</v>
      </c>
      <c r="AE56" s="17">
        <f t="shared" si="3"/>
        <v>0</v>
      </c>
      <c r="AF56" s="17" t="s">
        <v>1118</v>
      </c>
      <c r="AG56" s="17" t="str">
        <f t="shared" si="4"/>
        <v>Clinical and Health</v>
      </c>
      <c r="AH56" s="17" t="s">
        <v>1119</v>
      </c>
      <c r="AI56" s="16">
        <f t="shared" si="5"/>
        <v>4</v>
      </c>
      <c r="AJ56" s="17"/>
    </row>
    <row r="57" spans="1:38" ht="250.1" customHeight="1" x14ac:dyDescent="0.5">
      <c r="A57" s="16">
        <v>56</v>
      </c>
      <c r="B57" s="17" t="s">
        <v>101</v>
      </c>
      <c r="C57" s="17" t="s">
        <v>1120</v>
      </c>
      <c r="D57" s="17" t="s">
        <v>1121</v>
      </c>
      <c r="E57" s="17" t="s">
        <v>1122</v>
      </c>
      <c r="F57" s="17" t="s">
        <v>1123</v>
      </c>
      <c r="G57" s="17" t="s">
        <v>1124</v>
      </c>
      <c r="H57" s="17">
        <v>2020</v>
      </c>
      <c r="I57" s="17" t="s">
        <v>148</v>
      </c>
      <c r="J57" s="17" t="s">
        <v>1125</v>
      </c>
      <c r="K57" s="17" t="s">
        <v>1126</v>
      </c>
      <c r="L57" s="17">
        <v>3.4</v>
      </c>
      <c r="M57" s="17">
        <v>42</v>
      </c>
      <c r="N57" s="17" t="s">
        <v>1127</v>
      </c>
      <c r="O57" s="17" t="s">
        <v>1128</v>
      </c>
      <c r="P57" s="17" t="s">
        <v>1129</v>
      </c>
      <c r="Q57" s="17" t="s">
        <v>1130</v>
      </c>
      <c r="R57" s="17" cm="1">
        <f t="array" ref="R57">IF(AND(OR(ISNUMBER(SEARCH({"mzml","mzxml","mztab","mztab-m","mgf","mzdata","peakml","traml","mzidentml","pepxml","protxml","imzml","nmrml","fid","cnx","smiles","inchi","inchikey","sdf","mol","mol2","xyz","smi","pdb","mmcif","cif","fasta","fastq","gtf","sam","bam","vcf","csv","tsv","json","hdf5","h5ad","msp","ms","isa-tab","biom"},LOWER(P57)))),OR(ISNUMBER(SEARCH({"mzml","mzxml","mztab","mztab-m","mgf","msp","pepxml","protxml","mzidentml","idxml","featurexml","consensusxml","qcml","mzquantml","peakml","nmrml","massbank","smiles","inchi","inchikey","sdf","mol","smi","pdb","mmcif","cif","fasta","fastq","bam","vcf","genbank","gff","csv","tsv","json","xlsx","hdf5","h5ad","graphml","gml","isa-tab","blib","newick","onnx"},LOWER(Q57))))),1,0)</f>
        <v>1</v>
      </c>
      <c r="S57" s="17" t="s">
        <v>1131</v>
      </c>
      <c r="T57" s="17" t="s">
        <v>1132</v>
      </c>
      <c r="U57" s="17">
        <v>1</v>
      </c>
      <c r="V57" s="17" t="s">
        <v>1133</v>
      </c>
      <c r="W57" s="17">
        <f t="shared" si="0"/>
        <v>1</v>
      </c>
      <c r="X57" s="17" t="s">
        <v>1134</v>
      </c>
      <c r="Y57" s="17" t="s">
        <v>1135</v>
      </c>
      <c r="Z57" s="17" t="s">
        <v>1136</v>
      </c>
      <c r="AA57" s="17">
        <f t="shared" si="1"/>
        <v>1</v>
      </c>
      <c r="AB57" s="17" t="s">
        <v>160</v>
      </c>
      <c r="AC57" s="17">
        <f t="shared" si="2"/>
        <v>0</v>
      </c>
      <c r="AD57" s="17" t="s">
        <v>1137</v>
      </c>
      <c r="AE57" s="17">
        <f t="shared" si="3"/>
        <v>0</v>
      </c>
      <c r="AF57" s="17" t="s">
        <v>1138</v>
      </c>
      <c r="AG57" s="17" t="str">
        <f t="shared" si="4"/>
        <v>Clinical and Health</v>
      </c>
      <c r="AH57" s="17" t="s">
        <v>1139</v>
      </c>
      <c r="AI57" s="16">
        <f t="shared" si="5"/>
        <v>4</v>
      </c>
      <c r="AJ57" s="17"/>
    </row>
    <row r="58" spans="1:38" ht="250.1" customHeight="1" x14ac:dyDescent="0.5">
      <c r="A58" s="16">
        <v>57</v>
      </c>
      <c r="B58" s="17" t="s">
        <v>101</v>
      </c>
      <c r="C58" s="17" t="s">
        <v>1140</v>
      </c>
      <c r="D58" s="17" t="s">
        <v>1141</v>
      </c>
      <c r="E58" s="17" t="s">
        <v>1142</v>
      </c>
      <c r="F58" s="17" t="s">
        <v>1143</v>
      </c>
      <c r="G58" s="17" t="s">
        <v>1144</v>
      </c>
      <c r="H58" s="17">
        <v>2019</v>
      </c>
      <c r="I58" s="17" t="s">
        <v>148</v>
      </c>
      <c r="J58" s="17" t="s">
        <v>1145</v>
      </c>
      <c r="K58" s="17" t="s">
        <v>1106</v>
      </c>
      <c r="L58" s="17">
        <v>2.9</v>
      </c>
      <c r="M58" s="17">
        <v>65</v>
      </c>
      <c r="N58" s="17" t="s">
        <v>1146</v>
      </c>
      <c r="O58" s="17" t="s">
        <v>1147</v>
      </c>
      <c r="P58" s="17" t="s">
        <v>1148</v>
      </c>
      <c r="Q58" s="17" t="s">
        <v>1149</v>
      </c>
      <c r="R58" s="17" cm="1">
        <f t="array" ref="R58">IF(AND(OR(ISNUMBER(SEARCH({"mzml","mzxml","mztab","mztab-m","mgf","mzdata","peakml","traml","mzidentml","pepxml","protxml","imzml","nmrml","fid","cnx","smiles","inchi","inchikey","sdf","mol","mol2","xyz","smi","pdb","mmcif","cif","fasta","fastq","gtf","sam","bam","vcf","csv","tsv","json","hdf5","h5ad","msp","ms","isa-tab","biom"},LOWER(P58)))),OR(ISNUMBER(SEARCH({"mzml","mzxml","mztab","mztab-m","mgf","msp","pepxml","protxml","mzidentml","idxml","featurexml","consensusxml","qcml","mzquantml","peakml","nmrml","massbank","smiles","inchi","inchikey","sdf","mol","smi","pdb","mmcif","cif","fasta","fastq","bam","vcf","genbank","gff","csv","tsv","json","xlsx","hdf5","h5ad","graphml","gml","isa-tab","blib","newick","onnx"},LOWER(Q58))))),1,0)</f>
        <v>0</v>
      </c>
      <c r="S58" s="17" t="s">
        <v>1150</v>
      </c>
      <c r="T58" s="17" t="s">
        <v>1151</v>
      </c>
      <c r="U58" s="17">
        <v>1</v>
      </c>
      <c r="V58" s="17" t="s">
        <v>1152</v>
      </c>
      <c r="W58" s="17">
        <f t="shared" si="0"/>
        <v>1</v>
      </c>
      <c r="X58" s="17" t="s">
        <v>1153</v>
      </c>
      <c r="Y58" s="17" t="s">
        <v>1154</v>
      </c>
      <c r="Z58" s="17" t="s">
        <v>1155</v>
      </c>
      <c r="AA58" s="17">
        <f t="shared" si="1"/>
        <v>1</v>
      </c>
      <c r="AB58" s="17" t="s">
        <v>1156</v>
      </c>
      <c r="AC58" s="17">
        <f t="shared" si="2"/>
        <v>1</v>
      </c>
      <c r="AD58" s="17" t="s">
        <v>1157</v>
      </c>
      <c r="AE58" s="17">
        <f t="shared" si="3"/>
        <v>0</v>
      </c>
      <c r="AF58" s="17" t="s">
        <v>1158</v>
      </c>
      <c r="AG58" s="17" t="str">
        <f t="shared" si="4"/>
        <v>Methodological</v>
      </c>
      <c r="AH58" s="17" t="s">
        <v>1159</v>
      </c>
      <c r="AI58" s="16">
        <f t="shared" si="5"/>
        <v>4</v>
      </c>
      <c r="AJ58" s="17"/>
    </row>
    <row r="59" spans="1:38" ht="250.1" customHeight="1" x14ac:dyDescent="0.5">
      <c r="A59" s="16">
        <v>58</v>
      </c>
      <c r="B59" s="17" t="s">
        <v>101</v>
      </c>
      <c r="C59" s="17" t="s">
        <v>1160</v>
      </c>
      <c r="D59" s="17" t="s">
        <v>1161</v>
      </c>
      <c r="E59" s="17" t="s">
        <v>1162</v>
      </c>
      <c r="F59" s="17" t="s">
        <v>1163</v>
      </c>
      <c r="G59" s="17" t="s">
        <v>1164</v>
      </c>
      <c r="H59" s="17">
        <v>2015</v>
      </c>
      <c r="I59" s="17" t="s">
        <v>41</v>
      </c>
      <c r="J59" s="17" t="s">
        <v>1165</v>
      </c>
      <c r="K59" s="17" t="s">
        <v>86</v>
      </c>
      <c r="L59" s="17">
        <v>7.1</v>
      </c>
      <c r="M59" s="17">
        <v>235</v>
      </c>
      <c r="N59" s="17" t="s">
        <v>1166</v>
      </c>
      <c r="O59" s="17" t="s">
        <v>1167</v>
      </c>
      <c r="P59" s="17" t="s">
        <v>1168</v>
      </c>
      <c r="Q59" s="17" t="s">
        <v>1169</v>
      </c>
      <c r="R59" s="17" cm="1">
        <f t="array" ref="R59">IF(AND(OR(ISNUMBER(SEARCH({"mzml","mzxml","mztab","mztab-m","mgf","mzdata","peakml","traml","mzidentml","pepxml","protxml","imzml","nmrml","fid","cnx","smiles","inchi","inchikey","sdf","mol","mol2","xyz","smi","pdb","mmcif","cif","fasta","fastq","gtf","sam","bam","vcf","csv","tsv","json","hdf5","h5ad","msp","ms","isa-tab","biom"},LOWER(P59)))),OR(ISNUMBER(SEARCH({"mzml","mzxml","mztab","mztab-m","mgf","msp","pepxml","protxml","mzidentml","idxml","featurexml","consensusxml","qcml","mzquantml","peakml","nmrml","massbank","smiles","inchi","inchikey","sdf","mol","smi","pdb","mmcif","cif","fasta","fastq","bam","vcf","genbank","gff","csv","tsv","json","xlsx","hdf5","h5ad","graphml","gml","isa-tab","blib","newick","onnx"},LOWER(Q59))))),1,0)</f>
        <v>1</v>
      </c>
      <c r="S59" s="17" t="s">
        <v>1170</v>
      </c>
      <c r="T59" s="17" t="s">
        <v>1171</v>
      </c>
      <c r="U59" s="17">
        <v>1</v>
      </c>
      <c r="V59" s="17" t="s">
        <v>1172</v>
      </c>
      <c r="W59" s="17">
        <f t="shared" si="0"/>
        <v>1</v>
      </c>
      <c r="X59" s="17" t="s">
        <v>1173</v>
      </c>
      <c r="Y59" s="17" t="s">
        <v>1174</v>
      </c>
      <c r="Z59" s="17" t="s">
        <v>1175</v>
      </c>
      <c r="AA59" s="17">
        <f t="shared" si="1"/>
        <v>1</v>
      </c>
      <c r="AB59" s="17" t="s">
        <v>1176</v>
      </c>
      <c r="AC59" s="17">
        <f t="shared" si="2"/>
        <v>1</v>
      </c>
      <c r="AD59" s="17" t="s">
        <v>1177</v>
      </c>
      <c r="AE59" s="17">
        <f t="shared" si="3"/>
        <v>0</v>
      </c>
      <c r="AF59" s="17" t="s">
        <v>1178</v>
      </c>
      <c r="AG59" s="17" t="str">
        <f t="shared" si="4"/>
        <v>Methodological</v>
      </c>
      <c r="AH59" s="17" t="s">
        <v>1179</v>
      </c>
      <c r="AI59" s="16">
        <f t="shared" si="5"/>
        <v>5</v>
      </c>
      <c r="AJ59" s="17"/>
    </row>
    <row r="60" spans="1:38" ht="250.1" customHeight="1" x14ac:dyDescent="0.5">
      <c r="A60" s="16">
        <v>59</v>
      </c>
      <c r="B60" s="17" t="s">
        <v>101</v>
      </c>
      <c r="C60" s="17" t="s">
        <v>1180</v>
      </c>
      <c r="D60" s="17" t="s">
        <v>1181</v>
      </c>
      <c r="E60" s="17" t="s">
        <v>1182</v>
      </c>
      <c r="F60" s="17" t="s">
        <v>1183</v>
      </c>
      <c r="G60" s="17" t="s">
        <v>1184</v>
      </c>
      <c r="H60" s="17">
        <v>2017</v>
      </c>
      <c r="I60" s="17" t="s">
        <v>41</v>
      </c>
      <c r="J60" s="17" t="s">
        <v>1185</v>
      </c>
      <c r="K60" s="17" t="s">
        <v>1186</v>
      </c>
      <c r="L60" s="17">
        <v>3.8</v>
      </c>
      <c r="M60" s="17">
        <v>2825</v>
      </c>
      <c r="N60" s="17" t="s">
        <v>1187</v>
      </c>
      <c r="O60" s="17" t="s">
        <v>1188</v>
      </c>
      <c r="P60" s="17" t="s">
        <v>1189</v>
      </c>
      <c r="Q60" s="17" t="s">
        <v>1190</v>
      </c>
      <c r="R60" s="17" cm="1">
        <f t="array" ref="R60">IF(AND(OR(ISNUMBER(SEARCH({"mzml","mzxml","mztab","mztab-m","mgf","mzdata","peakml","traml","mzidentml","pepxml","protxml","imzml","nmrml","fid","cnx","smiles","inchi","inchikey","sdf","mol","mol2","xyz","smi","pdb","mmcif","cif","fasta","fastq","gtf","sam","bam","vcf","csv","tsv","json","hdf5","h5ad","msp","ms","isa-tab","biom"},LOWER(P60)))),OR(ISNUMBER(SEARCH({"mzml","mzxml","mztab","mztab-m","mgf","msp","pepxml","protxml","mzidentml","idxml","featurexml","consensusxml","qcml","mzquantml","peakml","nmrml","massbank","smiles","inchi","inchikey","sdf","mol","smi","pdb","mmcif","cif","fasta","fastq","bam","vcf","genbank","gff","csv","tsv","json","xlsx","hdf5","h5ad","graphml","gml","isa-tab","blib","newick","onnx"},LOWER(Q60))))),1,0)</f>
        <v>0</v>
      </c>
      <c r="S60" s="17" t="s">
        <v>1191</v>
      </c>
      <c r="T60" s="17" t="s">
        <v>1192</v>
      </c>
      <c r="U60" s="17">
        <v>0</v>
      </c>
      <c r="V60" s="17" t="s">
        <v>1193</v>
      </c>
      <c r="W60" s="17">
        <f t="shared" si="0"/>
        <v>0</v>
      </c>
      <c r="X60" s="17" t="s">
        <v>1194</v>
      </c>
      <c r="Y60" s="17" t="s">
        <v>1195</v>
      </c>
      <c r="Z60" s="17" t="s">
        <v>1196</v>
      </c>
      <c r="AA60" s="17">
        <f t="shared" si="1"/>
        <v>1</v>
      </c>
      <c r="AB60" s="17" t="s">
        <v>1197</v>
      </c>
      <c r="AC60" s="17">
        <f t="shared" si="2"/>
        <v>1</v>
      </c>
      <c r="AD60" s="17" t="s">
        <v>1198</v>
      </c>
      <c r="AE60" s="17">
        <f t="shared" si="3"/>
        <v>1</v>
      </c>
      <c r="AF60" s="17" t="s">
        <v>1199</v>
      </c>
      <c r="AG60" s="17" t="str">
        <f t="shared" si="4"/>
        <v>Clinical and Health</v>
      </c>
      <c r="AH60" s="17" t="s">
        <v>1200</v>
      </c>
      <c r="AI60" s="16">
        <f t="shared" si="5"/>
        <v>3</v>
      </c>
      <c r="AJ60" s="17"/>
    </row>
    <row r="61" spans="1:38" ht="250.1" customHeight="1" x14ac:dyDescent="0.5">
      <c r="A61" s="16">
        <v>60</v>
      </c>
      <c r="B61" s="17" t="s">
        <v>101</v>
      </c>
      <c r="C61" s="17" t="s">
        <v>1201</v>
      </c>
      <c r="D61" s="17" t="s">
        <v>1202</v>
      </c>
      <c r="E61" s="17" t="s">
        <v>1203</v>
      </c>
      <c r="F61" s="17" t="s">
        <v>1204</v>
      </c>
      <c r="G61" s="17" t="s">
        <v>1205</v>
      </c>
      <c r="H61" s="17">
        <v>2023</v>
      </c>
      <c r="I61" s="17" t="s">
        <v>41</v>
      </c>
      <c r="J61" s="17" t="s">
        <v>1206</v>
      </c>
      <c r="K61" s="17" t="s">
        <v>1207</v>
      </c>
      <c r="L61" s="17" t="s">
        <v>252</v>
      </c>
      <c r="M61" s="17">
        <v>2</v>
      </c>
      <c r="N61" s="17" t="s">
        <v>1208</v>
      </c>
      <c r="O61" s="17" t="s">
        <v>1209</v>
      </c>
      <c r="P61" s="17" t="s">
        <v>1210</v>
      </c>
      <c r="Q61" s="17" t="s">
        <v>1211</v>
      </c>
      <c r="R61" s="17" cm="1">
        <f t="array" ref="R61">IF(AND(OR(ISNUMBER(SEARCH({"mzml","mzxml","mztab","mztab-m","mgf","mzdata","peakml","traml","mzidentml","pepxml","protxml","imzml","nmrml","fid","cnx","smiles","inchi","inchikey","sdf","mol","mol2","xyz","smi","pdb","mmcif","cif","fasta","fastq","gtf","sam","bam","vcf","csv","tsv","json","hdf5","h5ad","msp","ms","isa-tab","biom"},LOWER(P61)))),OR(ISNUMBER(SEARCH({"mzml","mzxml","mztab","mztab-m","mgf","msp","pepxml","protxml","mzidentml","idxml","featurexml","consensusxml","qcml","mzquantml","peakml","nmrml","massbank","smiles","inchi","inchikey","sdf","mol","smi","pdb","mmcif","cif","fasta","fastq","bam","vcf","genbank","gff","csv","tsv","json","xlsx","hdf5","h5ad","graphml","gml","isa-tab","blib","newick","onnx"},LOWER(Q61))))),1,0)</f>
        <v>0</v>
      </c>
      <c r="S61" s="17" t="s">
        <v>1212</v>
      </c>
      <c r="T61" s="17" t="s">
        <v>1213</v>
      </c>
      <c r="U61" s="17">
        <v>1</v>
      </c>
      <c r="V61" s="17" t="s">
        <v>1214</v>
      </c>
      <c r="W61" s="17">
        <f t="shared" si="0"/>
        <v>1</v>
      </c>
      <c r="X61" s="17" t="s">
        <v>1215</v>
      </c>
      <c r="Y61" s="17" t="s">
        <v>1216</v>
      </c>
      <c r="Z61" s="17" t="s">
        <v>1217</v>
      </c>
      <c r="AA61" s="17">
        <f t="shared" si="1"/>
        <v>1</v>
      </c>
      <c r="AB61" s="17" t="s">
        <v>1218</v>
      </c>
      <c r="AC61" s="17">
        <f t="shared" si="2"/>
        <v>1</v>
      </c>
      <c r="AD61" s="17" t="s">
        <v>1219</v>
      </c>
      <c r="AE61" s="17">
        <f t="shared" si="3"/>
        <v>0</v>
      </c>
      <c r="AF61" s="17" t="s">
        <v>1220</v>
      </c>
      <c r="AG61" s="17" t="str">
        <f t="shared" si="4"/>
        <v>Environmental</v>
      </c>
      <c r="AH61" s="17" t="s">
        <v>1221</v>
      </c>
      <c r="AI61" s="16">
        <f t="shared" si="5"/>
        <v>4</v>
      </c>
      <c r="AJ61" s="17"/>
    </row>
    <row r="62" spans="1:38" ht="250.1" customHeight="1" x14ac:dyDescent="0.5">
      <c r="A62" s="16">
        <v>61</v>
      </c>
      <c r="B62" s="17" t="s">
        <v>101</v>
      </c>
      <c r="C62" s="17" t="s">
        <v>1222</v>
      </c>
      <c r="D62" s="17" t="s">
        <v>1223</v>
      </c>
      <c r="E62" s="17" t="s">
        <v>1224</v>
      </c>
      <c r="F62" s="17" t="s">
        <v>1225</v>
      </c>
      <c r="G62" s="17" t="s">
        <v>1226</v>
      </c>
      <c r="H62" s="17">
        <v>2020</v>
      </c>
      <c r="I62" s="17" t="s">
        <v>1227</v>
      </c>
      <c r="J62" s="17" t="s">
        <v>1228</v>
      </c>
      <c r="K62" s="17" t="s">
        <v>1229</v>
      </c>
      <c r="L62" s="17" t="s">
        <v>252</v>
      </c>
      <c r="M62" s="17">
        <v>6</v>
      </c>
      <c r="N62" s="17" t="s">
        <v>1230</v>
      </c>
      <c r="O62" s="17" t="s">
        <v>1231</v>
      </c>
      <c r="P62" s="17" t="s">
        <v>1232</v>
      </c>
      <c r="Q62" s="17" t="s">
        <v>1233</v>
      </c>
      <c r="R62" s="17" cm="1">
        <f t="array" ref="R62">IF(AND(OR(ISNUMBER(SEARCH({"mzml","mzxml","mztab","mztab-m","mgf","mzdata","peakml","traml","mzidentml","pepxml","protxml","imzml","nmrml","fid","cnx","smiles","inchi","inchikey","sdf","mol","mol2","xyz","smi","pdb","mmcif","cif","fasta","fastq","gtf","sam","bam","vcf","csv","tsv","json","hdf5","h5ad","msp","ms","isa-tab","biom"},LOWER(P62)))),OR(ISNUMBER(SEARCH({"mzml","mzxml","mztab","mztab-m","mgf","msp","pepxml","protxml","mzidentml","idxml","featurexml","consensusxml","qcml","mzquantml","peakml","nmrml","massbank","smiles","inchi","inchikey","sdf","mol","smi","pdb","mmcif","cif","fasta","fastq","bam","vcf","genbank","gff","csv","tsv","json","xlsx","hdf5","h5ad","graphml","gml","isa-tab","blib","newick","onnx"},LOWER(Q62))))),1,0)</f>
        <v>1</v>
      </c>
      <c r="S62" s="17" t="s">
        <v>1234</v>
      </c>
      <c r="T62" s="17" t="s">
        <v>1235</v>
      </c>
      <c r="U62" s="17">
        <v>1</v>
      </c>
      <c r="V62" s="17" t="s">
        <v>1236</v>
      </c>
      <c r="W62" s="17">
        <f t="shared" si="0"/>
        <v>1</v>
      </c>
      <c r="X62" s="17" t="s">
        <v>1237</v>
      </c>
      <c r="Y62" s="17" t="s">
        <v>1238</v>
      </c>
      <c r="Z62" s="17" t="s">
        <v>1239</v>
      </c>
      <c r="AA62" s="17">
        <f t="shared" si="1"/>
        <v>1</v>
      </c>
      <c r="AB62" s="17" t="s">
        <v>1240</v>
      </c>
      <c r="AC62" s="17">
        <f t="shared" si="2"/>
        <v>1</v>
      </c>
      <c r="AD62" s="17" t="s">
        <v>1241</v>
      </c>
      <c r="AE62" s="17">
        <f t="shared" si="3"/>
        <v>0</v>
      </c>
      <c r="AF62" s="17" t="s">
        <v>1242</v>
      </c>
      <c r="AG62" s="17" t="str">
        <f t="shared" si="4"/>
        <v>Drug Discovery</v>
      </c>
      <c r="AH62" s="17" t="s">
        <v>1243</v>
      </c>
      <c r="AI62" s="16">
        <f t="shared" si="5"/>
        <v>5</v>
      </c>
      <c r="AJ62" s="17"/>
    </row>
    <row r="63" spans="1:38" ht="250.1" customHeight="1" x14ac:dyDescent="0.5">
      <c r="A63" s="16">
        <v>62</v>
      </c>
      <c r="B63" s="17" t="s">
        <v>101</v>
      </c>
      <c r="C63" s="17" t="s">
        <v>1244</v>
      </c>
      <c r="D63" s="17" t="s">
        <v>1245</v>
      </c>
      <c r="E63" s="17" t="s">
        <v>1246</v>
      </c>
      <c r="F63" s="17" t="s">
        <v>1247</v>
      </c>
      <c r="G63" s="17" t="s">
        <v>1248</v>
      </c>
      <c r="H63" s="17">
        <v>2023</v>
      </c>
      <c r="I63" s="17" t="s">
        <v>148</v>
      </c>
      <c r="J63" s="17" t="s">
        <v>1249</v>
      </c>
      <c r="K63" s="17" t="s">
        <v>273</v>
      </c>
      <c r="L63" s="17">
        <v>6.7</v>
      </c>
      <c r="M63" s="17">
        <v>9</v>
      </c>
      <c r="N63" s="17" t="s">
        <v>1250</v>
      </c>
      <c r="O63" s="17" t="s">
        <v>1251</v>
      </c>
      <c r="P63" s="17" t="s">
        <v>1252</v>
      </c>
      <c r="Q63" s="17" t="s">
        <v>1253</v>
      </c>
      <c r="R63" s="17" cm="1">
        <f t="array" ref="R63">IF(AND(OR(ISNUMBER(SEARCH({"mzml","mzxml","mztab","mztab-m","mgf","mzdata","peakml","traml","mzidentml","pepxml","protxml","imzml","nmrml","fid","cnx","smiles","inchi","inchikey","sdf","mol","mol2","xyz","smi","pdb","mmcif","cif","fasta","fastq","gtf","sam","bam","vcf","csv","tsv","json","hdf5","h5ad","msp","ms","isa-tab","biom"},LOWER(P63)))),OR(ISNUMBER(SEARCH({"mzml","mzxml","mztab","mztab-m","mgf","msp","pepxml","protxml","mzidentml","idxml","featurexml","consensusxml","qcml","mzquantml","peakml","nmrml","massbank","smiles","inchi","inchikey","sdf","mol","smi","pdb","mmcif","cif","fasta","fastq","bam","vcf","genbank","gff","csv","tsv","json","xlsx","hdf5","h5ad","graphml","gml","isa-tab","blib","newick","onnx"},LOWER(Q63))))),1,0)</f>
        <v>0</v>
      </c>
      <c r="S63" s="17" t="s">
        <v>1254</v>
      </c>
      <c r="T63" s="17" t="s">
        <v>1255</v>
      </c>
      <c r="U63" s="17">
        <v>1</v>
      </c>
      <c r="V63" s="17" t="s">
        <v>1256</v>
      </c>
      <c r="W63" s="17">
        <f t="shared" si="0"/>
        <v>0</v>
      </c>
      <c r="X63" s="17" t="s">
        <v>1257</v>
      </c>
      <c r="Y63" s="17" t="s">
        <v>1258</v>
      </c>
      <c r="Z63" s="17" t="s">
        <v>1259</v>
      </c>
      <c r="AA63" s="17">
        <f t="shared" si="1"/>
        <v>1</v>
      </c>
      <c r="AB63" s="17" t="s">
        <v>1260</v>
      </c>
      <c r="AC63" s="17">
        <f t="shared" si="2"/>
        <v>1</v>
      </c>
      <c r="AD63" s="17" t="s">
        <v>1261</v>
      </c>
      <c r="AE63" s="17">
        <f t="shared" si="3"/>
        <v>0</v>
      </c>
      <c r="AF63" s="17" t="s">
        <v>1262</v>
      </c>
      <c r="AG63" s="17" t="str">
        <f t="shared" si="4"/>
        <v>Methodological</v>
      </c>
      <c r="AH63" s="17" t="s">
        <v>1263</v>
      </c>
      <c r="AI63" s="16">
        <f t="shared" si="5"/>
        <v>3</v>
      </c>
      <c r="AJ63" s="17"/>
    </row>
    <row r="64" spans="1:38" ht="250.1" customHeight="1" x14ac:dyDescent="0.5">
      <c r="A64" s="16">
        <v>63</v>
      </c>
      <c r="B64" s="17" t="s">
        <v>101</v>
      </c>
      <c r="C64" s="17" t="s">
        <v>1264</v>
      </c>
      <c r="D64" s="17" t="s">
        <v>1265</v>
      </c>
      <c r="E64" s="17" t="s">
        <v>1266</v>
      </c>
      <c r="F64" s="17" t="s">
        <v>1267</v>
      </c>
      <c r="G64" s="17" t="s">
        <v>1268</v>
      </c>
      <c r="H64" s="17">
        <v>2022</v>
      </c>
      <c r="I64" s="17" t="s">
        <v>390</v>
      </c>
      <c r="J64" s="17" t="s">
        <v>1269</v>
      </c>
      <c r="K64" s="17" t="s">
        <v>43</v>
      </c>
      <c r="L64" s="17">
        <v>4.4000000000000004</v>
      </c>
      <c r="M64" s="17">
        <v>2</v>
      </c>
      <c r="N64" s="17" t="s">
        <v>1270</v>
      </c>
      <c r="O64" s="17" t="s">
        <v>1271</v>
      </c>
      <c r="P64" s="17" t="s">
        <v>321</v>
      </c>
      <c r="Q64" s="17" t="s">
        <v>321</v>
      </c>
      <c r="R64" s="17" cm="1">
        <f t="array" ref="R64">IF(AND(OR(ISNUMBER(SEARCH({"mzml","mzxml","mztab","mztab-m","mgf","mzdata","peakml","traml","mzidentml","pepxml","protxml","imzml","nmrml","fid","cnx","smiles","inchi","inchikey","sdf","mol","mol2","xyz","smi","pdb","mmcif","cif","fasta","fastq","gtf","sam","bam","vcf","csv","tsv","json","hdf5","h5ad","msp","ms","isa-tab","biom"},LOWER(P64)))),OR(ISNUMBER(SEARCH({"mzml","mzxml","mztab","mztab-m","mgf","msp","pepxml","protxml","mzidentml","idxml","featurexml","consensusxml","qcml","mzquantml","peakml","nmrml","massbank","smiles","inchi","inchikey","sdf","mol","smi","pdb","mmcif","cif","fasta","fastq","bam","vcf","genbank","gff","csv","tsv","json","xlsx","hdf5","h5ad","graphml","gml","isa-tab","blib","newick","onnx"},LOWER(Q64))))),1,0)</f>
        <v>0</v>
      </c>
      <c r="S64" s="17" t="s">
        <v>1272</v>
      </c>
      <c r="T64" s="17" t="s">
        <v>1273</v>
      </c>
      <c r="U64" s="17">
        <v>0</v>
      </c>
      <c r="V64" s="17" t="s">
        <v>321</v>
      </c>
      <c r="W64" s="17">
        <f t="shared" si="0"/>
        <v>0</v>
      </c>
      <c r="X64" s="17" t="s">
        <v>1274</v>
      </c>
      <c r="Y64" s="17" t="s">
        <v>321</v>
      </c>
      <c r="Z64" s="17" t="s">
        <v>1275</v>
      </c>
      <c r="AA64" s="17">
        <f t="shared" si="1"/>
        <v>1</v>
      </c>
      <c r="AB64" s="17" t="s">
        <v>1276</v>
      </c>
      <c r="AC64" s="17">
        <f t="shared" si="2"/>
        <v>1</v>
      </c>
      <c r="AD64" s="17" t="s">
        <v>1277</v>
      </c>
      <c r="AE64" s="17">
        <f t="shared" si="3"/>
        <v>0</v>
      </c>
      <c r="AF64" s="17" t="s">
        <v>1278</v>
      </c>
      <c r="AG64" s="17" t="str">
        <f t="shared" si="4"/>
        <v>Methodological</v>
      </c>
      <c r="AH64" s="17" t="s">
        <v>1279</v>
      </c>
      <c r="AI64" s="16">
        <f t="shared" si="5"/>
        <v>2</v>
      </c>
      <c r="AJ64" s="17"/>
    </row>
    <row r="65" spans="1:38" s="22" customFormat="1" ht="219.35" x14ac:dyDescent="0.5">
      <c r="A65" s="16">
        <v>64</v>
      </c>
      <c r="B65" s="17" t="s">
        <v>79</v>
      </c>
      <c r="C65" s="17" t="s">
        <v>1280</v>
      </c>
      <c r="D65" s="17" t="s">
        <v>1281</v>
      </c>
      <c r="E65" s="17" t="s">
        <v>1282</v>
      </c>
      <c r="F65" s="17" t="s">
        <v>1283</v>
      </c>
      <c r="G65" s="17" t="s">
        <v>1284</v>
      </c>
      <c r="H65" s="17">
        <v>2024</v>
      </c>
      <c r="I65" s="17" t="s">
        <v>534</v>
      </c>
      <c r="J65" s="17" t="s">
        <v>1285</v>
      </c>
      <c r="K65" s="17" t="s">
        <v>1286</v>
      </c>
      <c r="L65" s="17">
        <v>6.8</v>
      </c>
      <c r="M65" s="17">
        <v>8</v>
      </c>
      <c r="N65" s="17" t="s">
        <v>1287</v>
      </c>
      <c r="O65" s="17" t="s">
        <v>1288</v>
      </c>
      <c r="P65" s="17" t="s">
        <v>1289</v>
      </c>
      <c r="Q65" s="17" t="s">
        <v>1290</v>
      </c>
      <c r="R65" s="17" cm="1">
        <f t="array" ref="R65">IF(AND(OR(ISNUMBER(SEARCH({"mzml","mzxml","mztab","mztab-m","mgf","mzdata","peakml","traml","mzidentml","pepxml","protxml","imzml","nmrml","fid","cnx","smiles","inchi","inchikey","sdf","mol","mol2","xyz","smi","pdb","mmcif","cif","fasta","fastq","gtf","sam","bam","vcf","csv","tsv","json","hdf5","h5ad","msp","ms","isa-tab","biom"},LOWER(P65)))),OR(ISNUMBER(SEARCH({"mzml","mzxml","mztab","mztab-m","mgf","msp","pepxml","protxml","mzidentml","idxml","featurexml","consensusxml","qcml","mzquantml","peakml","nmrml","massbank","smiles","inchi","inchikey","sdf","mol","smi","pdb","mmcif","cif","fasta","fastq","bam","vcf","genbank","gff","csv","tsv","json","xlsx","hdf5","h5ad","graphml","gml","isa-tab","blib","newick","onnx"},LOWER(Q65))))),1,0)</f>
        <v>1</v>
      </c>
      <c r="S65" s="17" t="s">
        <v>1291</v>
      </c>
      <c r="T65" s="17" t="s">
        <v>1292</v>
      </c>
      <c r="U65" s="17">
        <v>1</v>
      </c>
      <c r="V65" s="17" t="s">
        <v>1293</v>
      </c>
      <c r="W65" s="17">
        <f t="shared" si="0"/>
        <v>1</v>
      </c>
      <c r="X65" s="17" t="s">
        <v>1294</v>
      </c>
      <c r="Y65" s="17" t="s">
        <v>1295</v>
      </c>
      <c r="Z65" s="17" t="s">
        <v>1296</v>
      </c>
      <c r="AA65" s="17">
        <f t="shared" si="1"/>
        <v>1</v>
      </c>
      <c r="AB65" s="17" t="s">
        <v>1297</v>
      </c>
      <c r="AC65" s="17">
        <f t="shared" si="2"/>
        <v>1</v>
      </c>
      <c r="AD65" s="17" t="s">
        <v>1298</v>
      </c>
      <c r="AE65" s="17">
        <f t="shared" si="3"/>
        <v>1</v>
      </c>
      <c r="AF65" s="17" t="s">
        <v>1299</v>
      </c>
      <c r="AG65" s="17" t="str">
        <f t="shared" si="4"/>
        <v>Drug Discovery</v>
      </c>
      <c r="AH65" s="17" t="s">
        <v>1300</v>
      </c>
      <c r="AI65" s="16">
        <f t="shared" si="5"/>
        <v>6</v>
      </c>
      <c r="AJ65" s="17"/>
    </row>
    <row r="66" spans="1:38" ht="250.1" customHeight="1" x14ac:dyDescent="0.5">
      <c r="A66" s="16">
        <v>65</v>
      </c>
      <c r="B66" s="17" t="s">
        <v>79</v>
      </c>
      <c r="C66" s="17" t="s">
        <v>1301</v>
      </c>
      <c r="D66" s="17" t="s">
        <v>1302</v>
      </c>
      <c r="E66" s="17" t="s">
        <v>1303</v>
      </c>
      <c r="F66" s="17" t="s">
        <v>1304</v>
      </c>
      <c r="G66" s="17" t="s">
        <v>1305</v>
      </c>
      <c r="H66" s="17">
        <v>2021</v>
      </c>
      <c r="I66" s="17" t="s">
        <v>534</v>
      </c>
      <c r="J66" s="17" t="s">
        <v>1306</v>
      </c>
      <c r="K66" s="17" t="s">
        <v>86</v>
      </c>
      <c r="L66" s="17">
        <v>7.1</v>
      </c>
      <c r="M66" s="17">
        <v>163</v>
      </c>
      <c r="N66" s="17" t="s">
        <v>1307</v>
      </c>
      <c r="O66" s="17" t="s">
        <v>1308</v>
      </c>
      <c r="P66" s="17" t="s">
        <v>1309</v>
      </c>
      <c r="Q66" s="17" t="s">
        <v>1310</v>
      </c>
      <c r="R66" s="17" cm="1">
        <f t="array" ref="R66">IF(AND(OR(ISNUMBER(SEARCH({"mzml","mzxml","mztab","mztab-m","mgf","mzdata","peakml","traml","mzidentml","pepxml","protxml","imzml","nmrml","fid","cnx","smiles","inchi","inchikey","sdf","mol","mol2","xyz","smi","pdb","mmcif","cif","fasta","fastq","gtf","sam","bam","vcf","csv","tsv","json","hdf5","h5ad","msp","ms","isa-tab","biom"},LOWER(P66)))),OR(ISNUMBER(SEARCH({"mzml","mzxml","mztab","mztab-m","mgf","msp","pepxml","protxml","mzidentml","idxml","featurexml","consensusxml","qcml","mzquantml","peakml","nmrml","massbank","smiles","inchi","inchikey","sdf","mol","smi","pdb","mmcif","cif","fasta","fastq","bam","vcf","genbank","gff","csv","tsv","json","xlsx","hdf5","h5ad","graphml","gml","isa-tab","blib","newick","onnx"},LOWER(Q66))))),1,0)</f>
        <v>0</v>
      </c>
      <c r="S66" s="17" t="s">
        <v>1311</v>
      </c>
      <c r="T66" s="17" t="s">
        <v>1312</v>
      </c>
      <c r="U66" s="17">
        <v>0</v>
      </c>
      <c r="V66" s="17" t="s">
        <v>1313</v>
      </c>
      <c r="W66" s="17">
        <f t="shared" ref="W66:W104" si="6">IF(OR(ISNUMBER(SEARCH("chembl",LOWER(V66))),ISNUMBER(SEARCH("pubchem",LOWER(V66))),ISNUMBER(SEARCH("zinc",LOWER(V66))),ISNUMBER(SEARCH("drugbank",LOWER(V66))),ISNUMBER(SEARCH("chebi",LOWER(V66))),ISNUMBER(SEARCH("chemspider",LOWER(V66))),ISNUMBER(SEARCH("hmdb",LOWER(V66))),ISNUMBER(SEARCH("kegg",LOWER(V66))),ISNUMBER(SEARCH("lipid maps",LOWER(V66))),ISNUMBER(SEARCH("metabolights",LOWER(V66))),ISNUMBER(SEARCH("metabolomics workbench",LOWER(V66))),ISNUMBER(SEARCH("gnps",LOWER(V66))),ISNUMBER(SEARCH("massbank",LOWER(V66))),ISNUMBER(SEARCH("mona",LOWER(V66))),ISNUMBER(SEARCH("metlin",LOWER(V66))),ISNUMBER(SEARCH("swisslipids",LOWER(V66))),ISNUMBER(SEARCH("uniprot",LOWER(V66))),ISNUMBER(SEARCH("pdb",LOWER(V66))),ISNUMBER(SEARCH("pride",LOWER(V66))),ISNUMBER(SEARCH("peptideatlas",LOWER(V66))),ISNUMBER(SEARCH("proteomexchange",LOWER(V66))),ISNUMBER(SEARCH("geo",LOWER(V66))),ISNUMBER(SEARCH("sra",LOWER(V66))),ISNUMBER(SEARCH("ensembl",LOWER(V66))),ISNUMBER(SEARCH("refseq",LOWER(V66))),ISNUMBER(SEARCH("arrayexpress",LOWER(V66))),ISNUMBER(SEARCH("reactome",LOWER(V66))),ISNUMBER(SEARCH("biocyc",LOWER(V66))),ISNUMBER(SEARCH("wikipathways",LOWER(V66))),ISNUMBER(SEARCH("pathbank",LOWER(V66))),ISNUMBER(SEARCH("gtex",LOWER(V66))),ISNUMBER(SEARCH("encode",LOWER(V66))),ISNUMBER(SEARCH("string",LOWER(V66)))),1,0)</f>
        <v>1</v>
      </c>
      <c r="X66" s="17" t="s">
        <v>1314</v>
      </c>
      <c r="Y66" s="17" t="s">
        <v>1315</v>
      </c>
      <c r="Z66" s="17" t="s">
        <v>1316</v>
      </c>
      <c r="AA66" s="17">
        <f t="shared" ref="AA66:AA104" si="7">IF(OR(
  ISNUMBER(SEARCH("http://",LOWER(Z66))),
  ISNUMBER(SEARCH("https://",LOWER(Z66))),
  ISNUMBER(SEARCH("doi.org",LOWER(Z66))),
  ISNUMBER(SEARCH("zenodo",LOWER(Z66))),
  ISNUMBER(SEARCH("github",LOWER(Z66))),
  ISNUMBER(SEARCH("figshare",LOWER(Z66))),
  ISNUMBER(SEARCH("massive.ucsd",LOWER(Z66))),
  ISNUMBER(SEARCH("gnps.ucsd",LOWER(Z66))),
  ISNUMBER(SEARCH("metabolights",LOWER(Z66))),
  ISNUMBER(SEARCH("ncbi.nlm.nih.gov",LOWER(Z66)))
),1,0)</f>
        <v>1</v>
      </c>
      <c r="AB66" s="17" t="s">
        <v>1317</v>
      </c>
      <c r="AC66" s="17">
        <f t="shared" ref="AC66:AC104" si="8">IF(OR(ISNUMBER(SEARCH("not available",LOWER(AB66)))),0,IF(OR(ISNUMBER(SEARCH("github",LOWER(AB66))),ISNUMBER(SEARCH("gitlab",LOWER(AB66))),ISNUMBER(SEARCH("bitbucket",LOWER(AB66))),ISNUMBER(SEARCH("docker",LOWER(AB66))),ISNUMBER(SEARCH("pypi.org",LOWER(AB66))),ISNUMBER(SEARCH("anaconda.org",LOWER(AB66))),ISNUMBER(SEARCH("cran.r-project",LOWER(AB66))),ISNUMBER(SEARCH("bioconductor.org",LOWER(AB66))),ISNUMBER(SEARCH("toolshed",LOWER(AB66))),ISNUMBER(SEARCH("zenodo",LOWER(AB66))),ISNUMBER(SEARCH("doi.org",LOWER(AB66)))),1,0))</f>
        <v>1</v>
      </c>
      <c r="AD66" s="17" t="s">
        <v>1318</v>
      </c>
      <c r="AE66" s="17">
        <f t="shared" ref="AE66:AE104" si="9">IF(OR(ISNUMBER(SEARCH("nextflow",LOWER(AD66))),ISNUMBER(SEARCH("snakemake",LOWER(AD66))),ISNUMBER(SEARCH("galaxy",LOWER(AD66))),ISNUMBER(SEARCH("cwl",LOWER(AD66))),ISNUMBER(SEARCH("knime",LOWER(AD66))),ISNUMBER(SEARCH("docker",LOWER(AD66))),ISNUMBER(SEARCH("container",LOWER(AD66))),ISNUMBER(SEARCH("singularity",LOWER(AD66))),ISNUMBER(SEARCH("pip install",LOWER(AD66))),ISNUMBER(SEARCH("conda",LOWER(AD66))),ISNUMBER(SEARCH("anaconda",LOWER(AD66))),ISNUMBER(SEARCH("bioconda",LOWER(AD66))),ISNUMBER(SEARCH("cran",LOWER(AD66))),ISNUMBER(SEARCH("bioconductor",LOWER(AD66))),ISNUMBER(SEARCH("pypi",LOWER(AD66)))),1,0)</f>
        <v>1</v>
      </c>
      <c r="AF66" s="17" t="s">
        <v>1319</v>
      </c>
      <c r="AG66" s="17" t="str">
        <f t="shared" ref="AG66:AG104" si="10">IF(OR(
    ISNUMBER(SEARCH("food",AF66)),
    ISNUMBER(SEARCH("pesticide",AF66)),
    ISNUMBER(SEARCH("agricultural",AF66)),
    ISNUMBER(SEARCH("crop",AF66)),
    ISNUMBER(SEARCH("residue",AF66)),
    ISNUMBER(SEARCH("contaminant",AF66))
  ), "Food &amp; Agriculture",
  IF(OR(
      ISNUMBER(SEARCH("disease",AF66)),
      ISNUMBER(SEARCH("diagnosis",AF66)),
      ISNUMBER(SEARCH("clinical",AF66)),
      ISNUMBER(SEARCH("patient",AF66)),
      ISNUMBER(SEARCH("biomarker",AF66)),
      ISNUMBER(SEARCH("cancer",AF66)),
      ISNUMBER(SEARCH("coronary",AF66))
    ), "Clinical and Health",
    IF(OR(
        ISNUMBER(SEARCH("drug discovery",AF66)),
        ISNUMBER(SEARCH("ADMET",AF66)),
        ISNUMBER(SEARCH("virtual screening",AF66)),
        ISNUMBER(SEARCH("lead optimization",AF66)),
        ISNUMBER(SEARCH("QSAR",AF66)),
        ISNUMBER(SEARCH("pharma",AF66))
      ), "Drug Discovery",
      IF(OR(
          ISNUMBER(SEARCH("environmental",AF66)),
          ISNUMBER(SEARCH("microbial community",AF66)),
          ISNUMBER(SEARCH("ecological",AF66))
        ), "Environmental",
        "Methodological"
      )
    )
  )
)</f>
        <v>Drug Discovery</v>
      </c>
      <c r="AH66" s="17" t="s">
        <v>1320</v>
      </c>
      <c r="AI66" s="16">
        <f t="shared" ref="AI66:AI104" si="11">R66+U66+W66+AA66+AC66+AE66</f>
        <v>4</v>
      </c>
      <c r="AJ66" s="17"/>
      <c r="AK66" s="22"/>
      <c r="AL66" s="22"/>
    </row>
    <row r="67" spans="1:38" ht="250.1" customHeight="1" x14ac:dyDescent="0.5">
      <c r="A67" s="16">
        <v>66</v>
      </c>
      <c r="B67" s="17" t="s">
        <v>79</v>
      </c>
      <c r="C67" s="17" t="s">
        <v>1321</v>
      </c>
      <c r="D67" s="17" t="s">
        <v>1322</v>
      </c>
      <c r="E67" s="17" t="s">
        <v>1323</v>
      </c>
      <c r="F67" s="17" t="s">
        <v>1324</v>
      </c>
      <c r="G67" s="17" t="s">
        <v>1325</v>
      </c>
      <c r="H67" s="17">
        <v>2023</v>
      </c>
      <c r="I67" s="17" t="s">
        <v>1326</v>
      </c>
      <c r="J67" s="17" t="s">
        <v>1327</v>
      </c>
      <c r="K67" s="17" t="s">
        <v>1328</v>
      </c>
      <c r="L67" s="17">
        <v>13.1</v>
      </c>
      <c r="M67" s="17">
        <v>4</v>
      </c>
      <c r="N67" s="17" t="s">
        <v>1329</v>
      </c>
      <c r="O67" s="17" t="s">
        <v>1330</v>
      </c>
      <c r="P67" s="17" t="s">
        <v>1331</v>
      </c>
      <c r="Q67" s="17" t="s">
        <v>1332</v>
      </c>
      <c r="R67" s="17" cm="1">
        <f t="array" ref="R67">IF(AND(OR(ISNUMBER(SEARCH({"mzml","mzxml","mztab","mztab-m","mgf","mzdata","peakml","traml","mzidentml","pepxml","protxml","imzml","nmrml","fid","cnx","smiles","inchi","inchikey","sdf","mol","mol2","xyz","smi","pdb","mmcif","cif","fasta","fastq","gtf","sam","bam","vcf","csv","tsv","json","hdf5","h5ad","msp","ms","isa-tab","biom"},LOWER(P67)))),OR(ISNUMBER(SEARCH({"mzml","mzxml","mztab","mztab-m","mgf","msp","pepxml","protxml","mzidentml","idxml","featurexml","consensusxml","qcml","mzquantml","peakml","nmrml","massbank","smiles","inchi","inchikey","sdf","mol","smi","pdb","mmcif","cif","fasta","fastq","bam","vcf","genbank","gff","csv","tsv","json","xlsx","hdf5","h5ad","graphml","gml","isa-tab","blib","newick","onnx"},LOWER(Q67))))),1,0)</f>
        <v>1</v>
      </c>
      <c r="S67" s="17" t="s">
        <v>1333</v>
      </c>
      <c r="T67" s="17" t="s">
        <v>1334</v>
      </c>
      <c r="U67" s="17">
        <v>0</v>
      </c>
      <c r="V67" s="17" t="s">
        <v>1335</v>
      </c>
      <c r="W67" s="17">
        <f t="shared" si="6"/>
        <v>1</v>
      </c>
      <c r="X67" s="17" t="s">
        <v>1336</v>
      </c>
      <c r="Y67" s="17" t="s">
        <v>1337</v>
      </c>
      <c r="Z67" s="17" t="s">
        <v>1338</v>
      </c>
      <c r="AA67" s="17">
        <f t="shared" si="7"/>
        <v>1</v>
      </c>
      <c r="AB67" s="17" t="s">
        <v>1339</v>
      </c>
      <c r="AC67" s="17">
        <f t="shared" si="8"/>
        <v>1</v>
      </c>
      <c r="AD67" s="17" t="s">
        <v>1340</v>
      </c>
      <c r="AE67" s="17">
        <f t="shared" si="9"/>
        <v>0</v>
      </c>
      <c r="AF67" s="17" t="s">
        <v>1341</v>
      </c>
      <c r="AG67" s="17" t="str">
        <f t="shared" si="10"/>
        <v>Clinical and Health</v>
      </c>
      <c r="AH67" s="17" t="s">
        <v>1342</v>
      </c>
      <c r="AI67" s="16">
        <f t="shared" si="11"/>
        <v>4</v>
      </c>
      <c r="AJ67" s="17"/>
    </row>
    <row r="68" spans="1:38" ht="250.1" customHeight="1" x14ac:dyDescent="0.5">
      <c r="A68" s="16">
        <v>67</v>
      </c>
      <c r="B68" s="17" t="s">
        <v>101</v>
      </c>
      <c r="C68" s="17" t="s">
        <v>1343</v>
      </c>
      <c r="D68" s="17" t="s">
        <v>1344</v>
      </c>
      <c r="E68" s="17" t="s">
        <v>1345</v>
      </c>
      <c r="F68" s="17" t="s">
        <v>1346</v>
      </c>
      <c r="G68" s="17" t="s">
        <v>1347</v>
      </c>
      <c r="H68" s="17">
        <v>2017</v>
      </c>
      <c r="I68" s="17" t="s">
        <v>148</v>
      </c>
      <c r="J68" s="17" t="s">
        <v>1348</v>
      </c>
      <c r="K68" s="17" t="s">
        <v>43</v>
      </c>
      <c r="L68" s="17">
        <v>4.4000000000000004</v>
      </c>
      <c r="M68" s="17">
        <v>14</v>
      </c>
      <c r="N68" s="17" t="s">
        <v>1349</v>
      </c>
      <c r="O68" s="17" t="s">
        <v>1350</v>
      </c>
      <c r="P68" s="17" t="s">
        <v>1351</v>
      </c>
      <c r="Q68" s="17" t="s">
        <v>1352</v>
      </c>
      <c r="R68" s="17" cm="1">
        <f t="array" ref="R68">IF(AND(OR(ISNUMBER(SEARCH({"mzml","mzxml","mztab","mztab-m","mgf","mzdata","peakml","traml","mzidentml","pepxml","protxml","imzml","nmrml","fid","cnx","smiles","inchi","inchikey","sdf","mol","mol2","xyz","smi","pdb","mmcif","cif","fasta","fastq","gtf","sam","bam","vcf","csv","tsv","json","hdf5","h5ad","msp","ms","isa-tab","biom"},LOWER(P68)))),OR(ISNUMBER(SEARCH({"mzml","mzxml","mztab","mztab-m","mgf","msp","pepxml","protxml","mzidentml","idxml","featurexml","consensusxml","qcml","mzquantml","peakml","nmrml","massbank","smiles","inchi","inchikey","sdf","mol","smi","pdb","mmcif","cif","fasta","fastq","bam","vcf","genbank","gff","csv","tsv","json","xlsx","hdf5","h5ad","graphml","gml","isa-tab","blib","newick","onnx"},LOWER(Q68))))),1,0)</f>
        <v>1</v>
      </c>
      <c r="S68" s="17" t="s">
        <v>1353</v>
      </c>
      <c r="T68" s="17" t="s">
        <v>1354</v>
      </c>
      <c r="U68" s="17">
        <v>0</v>
      </c>
      <c r="V68" s="17" t="s">
        <v>1355</v>
      </c>
      <c r="W68" s="17">
        <f t="shared" si="6"/>
        <v>1</v>
      </c>
      <c r="X68" s="17" t="s">
        <v>1356</v>
      </c>
      <c r="Y68" s="17" t="s">
        <v>1357</v>
      </c>
      <c r="Z68" s="17" t="s">
        <v>1358</v>
      </c>
      <c r="AA68" s="17">
        <f t="shared" si="7"/>
        <v>1</v>
      </c>
      <c r="AB68" s="17" t="s">
        <v>1359</v>
      </c>
      <c r="AC68" s="17">
        <f t="shared" si="8"/>
        <v>1</v>
      </c>
      <c r="AD68" s="17" t="s">
        <v>1360</v>
      </c>
      <c r="AE68" s="17">
        <f t="shared" si="9"/>
        <v>1</v>
      </c>
      <c r="AF68" s="17" t="s">
        <v>1361</v>
      </c>
      <c r="AG68" s="17" t="str">
        <f t="shared" si="10"/>
        <v>Methodological</v>
      </c>
      <c r="AH68" s="17" t="s">
        <v>1362</v>
      </c>
      <c r="AI68" s="16">
        <f t="shared" si="11"/>
        <v>5</v>
      </c>
      <c r="AJ68" s="17"/>
    </row>
    <row r="69" spans="1:38" ht="250.1" customHeight="1" x14ac:dyDescent="0.5">
      <c r="A69" s="16">
        <v>68</v>
      </c>
      <c r="B69" s="17" t="s">
        <v>79</v>
      </c>
      <c r="C69" s="17" t="s">
        <v>1363</v>
      </c>
      <c r="D69" s="17" t="s">
        <v>1364</v>
      </c>
      <c r="E69" s="17" t="s">
        <v>1365</v>
      </c>
      <c r="F69" s="17" t="s">
        <v>1366</v>
      </c>
      <c r="G69" s="17" t="s">
        <v>1367</v>
      </c>
      <c r="H69" s="17">
        <v>2004</v>
      </c>
      <c r="I69" s="17" t="s">
        <v>148</v>
      </c>
      <c r="J69" s="17" t="s">
        <v>1368</v>
      </c>
      <c r="K69" s="17" t="s">
        <v>1369</v>
      </c>
      <c r="L69" s="17">
        <v>3.2</v>
      </c>
      <c r="M69" s="17">
        <v>151</v>
      </c>
      <c r="N69" s="17" t="s">
        <v>1370</v>
      </c>
      <c r="O69" s="17" t="s">
        <v>1371</v>
      </c>
      <c r="P69" s="17" t="s">
        <v>1372</v>
      </c>
      <c r="Q69" s="17" t="s">
        <v>1373</v>
      </c>
      <c r="R69" s="17" cm="1">
        <f t="array" ref="R69">IF(AND(OR(ISNUMBER(SEARCH({"mzml","mzxml","mztab","mztab-m","mgf","mzdata","peakml","traml","mzidentml","pepxml","protxml","imzml","nmrml","fid","cnx","smiles","inchi","inchikey","sdf","mol","mol2","xyz","smi","pdb","mmcif","cif","fasta","fastq","gtf","sam","bam","vcf","csv","tsv","json","hdf5","h5ad","msp","ms","isa-tab","biom"},LOWER(P69)))),OR(ISNUMBER(SEARCH({"mzml","mzxml","mztab","mztab-m","mgf","msp","pepxml","protxml","mzidentml","idxml","featurexml","consensusxml","qcml","mzquantml","peakml","nmrml","massbank","smiles","inchi","inchikey","sdf","mol","smi","pdb","mmcif","cif","fasta","fastq","bam","vcf","genbank","gff","csv","tsv","json","xlsx","hdf5","h5ad","graphml","gml","isa-tab","blib","newick","onnx"},LOWER(Q69))))),1,0)</f>
        <v>0</v>
      </c>
      <c r="S69" s="17" t="s">
        <v>1374</v>
      </c>
      <c r="T69" s="17" t="s">
        <v>1375</v>
      </c>
      <c r="U69" s="17">
        <v>1</v>
      </c>
      <c r="V69" s="17" t="s">
        <v>1376</v>
      </c>
      <c r="W69" s="17">
        <f t="shared" si="6"/>
        <v>0</v>
      </c>
      <c r="X69" s="17" t="s">
        <v>1377</v>
      </c>
      <c r="Y69" s="17" t="s">
        <v>1378</v>
      </c>
      <c r="Z69" s="17" t="s">
        <v>1379</v>
      </c>
      <c r="AA69" s="17">
        <f t="shared" si="7"/>
        <v>1</v>
      </c>
      <c r="AB69" s="17" t="s">
        <v>160</v>
      </c>
      <c r="AC69" s="17">
        <f t="shared" si="8"/>
        <v>0</v>
      </c>
      <c r="AD69" s="17" t="s">
        <v>1380</v>
      </c>
      <c r="AE69" s="17">
        <f t="shared" si="9"/>
        <v>0</v>
      </c>
      <c r="AF69" s="17" t="s">
        <v>1381</v>
      </c>
      <c r="AG69" s="17" t="str">
        <f t="shared" si="10"/>
        <v>Methodological</v>
      </c>
      <c r="AH69" s="17" t="s">
        <v>1382</v>
      </c>
      <c r="AI69" s="16">
        <f t="shared" si="11"/>
        <v>2</v>
      </c>
      <c r="AJ69" s="17"/>
    </row>
    <row r="70" spans="1:38" ht="250.1" customHeight="1" x14ac:dyDescent="0.5">
      <c r="A70" s="16">
        <v>69</v>
      </c>
      <c r="B70" s="17" t="s">
        <v>35</v>
      </c>
      <c r="C70" s="17" t="s">
        <v>1383</v>
      </c>
      <c r="D70" s="17" t="s">
        <v>1384</v>
      </c>
      <c r="E70" s="17" t="s">
        <v>1385</v>
      </c>
      <c r="F70" s="17" t="s">
        <v>1386</v>
      </c>
      <c r="G70" s="17" t="s">
        <v>1387</v>
      </c>
      <c r="H70" s="17">
        <v>2020</v>
      </c>
      <c r="I70" s="17" t="s">
        <v>148</v>
      </c>
      <c r="J70" s="17" t="s">
        <v>1388</v>
      </c>
      <c r="K70" s="17" t="s">
        <v>1389</v>
      </c>
      <c r="L70" s="17">
        <v>4</v>
      </c>
      <c r="M70" s="17">
        <v>46</v>
      </c>
      <c r="N70" s="17" t="s">
        <v>1390</v>
      </c>
      <c r="O70" s="17" t="s">
        <v>1391</v>
      </c>
      <c r="P70" s="17" t="s">
        <v>1392</v>
      </c>
      <c r="Q70" s="17" t="s">
        <v>1393</v>
      </c>
      <c r="R70" s="17" cm="1">
        <f t="array" ref="R70">IF(AND(OR(ISNUMBER(SEARCH({"mzml","mzxml","mztab","mztab-m","mgf","mzdata","peakml","traml","mzidentml","pepxml","protxml","imzml","nmrml","fid","cnx","smiles","inchi","inchikey","sdf","mol","mol2","xyz","smi","pdb","mmcif","cif","fasta","fastq","gtf","sam","bam","vcf","csv","tsv","json","hdf5","h5ad","msp","ms","isa-tab","biom"},LOWER(P70)))),OR(ISNUMBER(SEARCH({"mzml","mzxml","mztab","mztab-m","mgf","msp","pepxml","protxml","mzidentml","idxml","featurexml","consensusxml","qcml","mzquantml","peakml","nmrml","massbank","smiles","inchi","inchikey","sdf","mol","smi","pdb","mmcif","cif","fasta","fastq","bam","vcf","genbank","gff","csv","tsv","json","xlsx","hdf5","h5ad","graphml","gml","isa-tab","blib","newick","onnx"},LOWER(Q70))))),1,0)</f>
        <v>0</v>
      </c>
      <c r="S70" s="17" t="s">
        <v>1394</v>
      </c>
      <c r="T70" s="17" t="s">
        <v>321</v>
      </c>
      <c r="U70" s="17">
        <v>1</v>
      </c>
      <c r="V70" s="17" t="s">
        <v>1395</v>
      </c>
      <c r="W70" s="17">
        <f t="shared" si="6"/>
        <v>1</v>
      </c>
      <c r="X70" s="17" t="s">
        <v>1396</v>
      </c>
      <c r="Y70" s="17" t="s">
        <v>1397</v>
      </c>
      <c r="Z70" s="17" t="s">
        <v>1398</v>
      </c>
      <c r="AA70" s="17">
        <f t="shared" si="7"/>
        <v>1</v>
      </c>
      <c r="AB70" s="17" t="s">
        <v>1399</v>
      </c>
      <c r="AC70" s="17">
        <f t="shared" si="8"/>
        <v>1</v>
      </c>
      <c r="AD70" s="17" t="s">
        <v>1400</v>
      </c>
      <c r="AE70" s="17">
        <f t="shared" si="9"/>
        <v>1</v>
      </c>
      <c r="AF70" s="17" t="s">
        <v>1401</v>
      </c>
      <c r="AG70" s="17" t="str">
        <f t="shared" si="10"/>
        <v>Clinical and Health</v>
      </c>
      <c r="AH70" s="17" t="s">
        <v>1402</v>
      </c>
      <c r="AI70" s="16">
        <f t="shared" si="11"/>
        <v>5</v>
      </c>
      <c r="AJ70" s="17"/>
    </row>
    <row r="71" spans="1:38" ht="250.1" customHeight="1" x14ac:dyDescent="0.5">
      <c r="A71" s="16">
        <v>70</v>
      </c>
      <c r="B71" s="17" t="s">
        <v>79</v>
      </c>
      <c r="C71" s="17" t="s">
        <v>1403</v>
      </c>
      <c r="D71" s="17" t="s">
        <v>1404</v>
      </c>
      <c r="E71" s="17" t="s">
        <v>1405</v>
      </c>
      <c r="F71" s="17" t="s">
        <v>1406</v>
      </c>
      <c r="G71" s="17" t="s">
        <v>1407</v>
      </c>
      <c r="H71" s="17">
        <v>2022</v>
      </c>
      <c r="I71" s="17" t="s">
        <v>148</v>
      </c>
      <c r="J71" s="17" t="s">
        <v>1408</v>
      </c>
      <c r="K71" s="17" t="s">
        <v>574</v>
      </c>
      <c r="L71" s="17">
        <v>16.600000000000001</v>
      </c>
      <c r="M71" s="17">
        <v>81</v>
      </c>
      <c r="N71" s="17" t="s">
        <v>1409</v>
      </c>
      <c r="O71" s="17" t="s">
        <v>1410</v>
      </c>
      <c r="P71" s="17" t="s">
        <v>1411</v>
      </c>
      <c r="Q71" s="17" t="s">
        <v>1412</v>
      </c>
      <c r="R71" s="17" cm="1">
        <f t="array" ref="R71">IF(AND(OR(ISNUMBER(SEARCH({"mzml","mzxml","mztab","mztab-m","mgf","mzdata","peakml","traml","mzidentml","pepxml","protxml","imzml","nmrml","fid","cnx","smiles","inchi","inchikey","sdf","mol","mol2","xyz","smi","pdb","mmcif","cif","fasta","fastq","gtf","sam","bam","vcf","csv","tsv","json","hdf5","h5ad","msp","ms","isa-tab","biom"},LOWER(P71)))),OR(ISNUMBER(SEARCH({"mzml","mzxml","mztab","mztab-m","mgf","msp","pepxml","protxml","mzidentml","idxml","featurexml","consensusxml","qcml","mzquantml","peakml","nmrml","massbank","smiles","inchi","inchikey","sdf","mol","smi","pdb","mmcif","cif","fasta","fastq","bam","vcf","genbank","gff","csv","tsv","json","xlsx","hdf5","h5ad","graphml","gml","isa-tab","blib","newick","onnx"},LOWER(Q71))))),1,0)</f>
        <v>0</v>
      </c>
      <c r="S71" s="17" t="s">
        <v>1413</v>
      </c>
      <c r="T71" s="17" t="s">
        <v>1414</v>
      </c>
      <c r="U71" s="17">
        <v>1</v>
      </c>
      <c r="V71" s="17" t="s">
        <v>1415</v>
      </c>
      <c r="W71" s="17">
        <f t="shared" si="6"/>
        <v>1</v>
      </c>
      <c r="X71" s="17" t="s">
        <v>1416</v>
      </c>
      <c r="Y71" s="17" t="s">
        <v>1417</v>
      </c>
      <c r="Z71" s="17" t="s">
        <v>1418</v>
      </c>
      <c r="AA71" s="17">
        <f t="shared" si="7"/>
        <v>1</v>
      </c>
      <c r="AB71" s="17" t="s">
        <v>1419</v>
      </c>
      <c r="AC71" s="17">
        <f t="shared" si="8"/>
        <v>1</v>
      </c>
      <c r="AD71" s="17" t="s">
        <v>1420</v>
      </c>
      <c r="AE71" s="17">
        <f t="shared" si="9"/>
        <v>0</v>
      </c>
      <c r="AF71" s="17" t="s">
        <v>1421</v>
      </c>
      <c r="AG71" s="17" t="str">
        <f t="shared" si="10"/>
        <v>Clinical and Health</v>
      </c>
      <c r="AH71" s="17" t="s">
        <v>1422</v>
      </c>
      <c r="AI71" s="16">
        <f t="shared" si="11"/>
        <v>4</v>
      </c>
      <c r="AJ71" s="17"/>
    </row>
    <row r="72" spans="1:38" ht="250.1" customHeight="1" x14ac:dyDescent="0.5">
      <c r="A72" s="16">
        <v>71</v>
      </c>
      <c r="B72" s="17" t="s">
        <v>101</v>
      </c>
      <c r="C72" s="17" t="s">
        <v>1423</v>
      </c>
      <c r="D72" s="17" t="s">
        <v>1424</v>
      </c>
      <c r="E72" s="17" t="s">
        <v>1425</v>
      </c>
      <c r="F72" s="17" t="s">
        <v>1426</v>
      </c>
      <c r="G72" s="17" t="s">
        <v>1427</v>
      </c>
      <c r="H72" s="17">
        <v>2022</v>
      </c>
      <c r="I72" s="17" t="s">
        <v>148</v>
      </c>
      <c r="J72" s="17" t="s">
        <v>1428</v>
      </c>
      <c r="K72" s="17" t="s">
        <v>1429</v>
      </c>
      <c r="L72" s="17">
        <v>4.3</v>
      </c>
      <c r="M72" s="17">
        <v>77</v>
      </c>
      <c r="N72" s="17" t="s">
        <v>1430</v>
      </c>
      <c r="O72" s="17" t="s">
        <v>1431</v>
      </c>
      <c r="P72" s="17" t="s">
        <v>1432</v>
      </c>
      <c r="Q72" s="17" t="s">
        <v>1433</v>
      </c>
      <c r="R72" s="17" cm="1">
        <f t="array" ref="R72">IF(AND(OR(ISNUMBER(SEARCH({"mzml","mzxml","mztab","mztab-m","mgf","mzdata","peakml","traml","mzidentml","pepxml","protxml","imzml","nmrml","fid","cnx","smiles","inchi","inchikey","sdf","mol","mol2","xyz","smi","pdb","mmcif","cif","fasta","fastq","gtf","sam","bam","vcf","csv","tsv","json","hdf5","h5ad","msp","ms","isa-tab","biom"},LOWER(P72)))),OR(ISNUMBER(SEARCH({"mzml","mzxml","mztab","mztab-m","mgf","msp","pepxml","protxml","mzidentml","idxml","featurexml","consensusxml","qcml","mzquantml","peakml","nmrml","massbank","smiles","inchi","inchikey","sdf","mol","smi","pdb","mmcif","cif","fasta","fastq","bam","vcf","genbank","gff","csv","tsv","json","xlsx","hdf5","h5ad","graphml","gml","isa-tab","blib","newick","onnx"},LOWER(Q72))))),1,0)</f>
        <v>0</v>
      </c>
      <c r="S72" s="17" t="s">
        <v>1434</v>
      </c>
      <c r="T72" s="17" t="s">
        <v>1435</v>
      </c>
      <c r="U72" s="17">
        <v>0</v>
      </c>
      <c r="V72" s="17" t="s">
        <v>1436</v>
      </c>
      <c r="W72" s="17">
        <f t="shared" si="6"/>
        <v>0</v>
      </c>
      <c r="X72" s="17" t="s">
        <v>1437</v>
      </c>
      <c r="Y72" s="17" t="s">
        <v>1438</v>
      </c>
      <c r="Z72" s="17" t="s">
        <v>1439</v>
      </c>
      <c r="AA72" s="17">
        <f t="shared" si="7"/>
        <v>1</v>
      </c>
      <c r="AB72" s="17" t="s">
        <v>1440</v>
      </c>
      <c r="AC72" s="17">
        <f t="shared" si="8"/>
        <v>1</v>
      </c>
      <c r="AD72" s="17" t="s">
        <v>1441</v>
      </c>
      <c r="AE72" s="17">
        <f t="shared" si="9"/>
        <v>1</v>
      </c>
      <c r="AF72" s="17" t="s">
        <v>1442</v>
      </c>
      <c r="AG72" s="17" t="str">
        <f t="shared" si="10"/>
        <v>Methodological</v>
      </c>
      <c r="AH72" s="17" t="s">
        <v>1443</v>
      </c>
      <c r="AI72" s="16">
        <f t="shared" si="11"/>
        <v>3</v>
      </c>
      <c r="AJ72" s="17"/>
    </row>
    <row r="73" spans="1:38" ht="250.1" customHeight="1" x14ac:dyDescent="0.5">
      <c r="A73" s="16">
        <v>72</v>
      </c>
      <c r="B73" s="17" t="s">
        <v>35</v>
      </c>
      <c r="C73" s="17" t="s">
        <v>1444</v>
      </c>
      <c r="D73" s="17" t="s">
        <v>1445</v>
      </c>
      <c r="E73" s="17" t="s">
        <v>1446</v>
      </c>
      <c r="F73" s="17" t="s">
        <v>1447</v>
      </c>
      <c r="G73" s="17" t="s">
        <v>1448</v>
      </c>
      <c r="H73" s="17">
        <v>2017</v>
      </c>
      <c r="I73" s="17" t="s">
        <v>1449</v>
      </c>
      <c r="J73" s="17" t="s">
        <v>1450</v>
      </c>
      <c r="K73" s="17" t="s">
        <v>1451</v>
      </c>
      <c r="L73" s="17">
        <v>4.0999999999999996</v>
      </c>
      <c r="M73" s="17">
        <v>92</v>
      </c>
      <c r="N73" s="17" t="s">
        <v>1452</v>
      </c>
      <c r="O73" s="17" t="s">
        <v>1453</v>
      </c>
      <c r="P73" s="17" t="s">
        <v>1454</v>
      </c>
      <c r="Q73" s="17" t="s">
        <v>1455</v>
      </c>
      <c r="R73" s="17" cm="1">
        <f t="array" ref="R73">IF(AND(OR(ISNUMBER(SEARCH({"mzml","mzxml","mztab","mztab-m","mgf","mzdata","peakml","traml","mzidentml","pepxml","protxml","imzml","nmrml","fid","cnx","smiles","inchi","inchikey","sdf","mol","mol2","xyz","smi","pdb","mmcif","cif","fasta","fastq","gtf","sam","bam","vcf","csv","tsv","json","hdf5","h5ad","msp","ms","isa-tab","biom"},LOWER(P73)))),OR(ISNUMBER(SEARCH({"mzml","mzxml","mztab","mztab-m","mgf","msp","pepxml","protxml","mzidentml","idxml","featurexml","consensusxml","qcml","mzquantml","peakml","nmrml","massbank","smiles","inchi","inchikey","sdf","mol","smi","pdb","mmcif","cif","fasta","fastq","bam","vcf","genbank","gff","csv","tsv","json","xlsx","hdf5","h5ad","graphml","gml","isa-tab","blib","newick","onnx"},LOWER(Q73))))),1,0)</f>
        <v>1</v>
      </c>
      <c r="S73" s="17" t="s">
        <v>1456</v>
      </c>
      <c r="T73" s="17" t="s">
        <v>1457</v>
      </c>
      <c r="U73" s="17">
        <v>1</v>
      </c>
      <c r="V73" s="17" t="s">
        <v>1458</v>
      </c>
      <c r="W73" s="17">
        <f t="shared" si="6"/>
        <v>1</v>
      </c>
      <c r="X73" s="17" t="s">
        <v>1459</v>
      </c>
      <c r="Y73" s="17" t="s">
        <v>1460</v>
      </c>
      <c r="Z73" s="17" t="s">
        <v>1461</v>
      </c>
      <c r="AA73" s="17">
        <f t="shared" si="7"/>
        <v>1</v>
      </c>
      <c r="AB73" s="17" t="s">
        <v>1462</v>
      </c>
      <c r="AC73" s="17">
        <f t="shared" si="8"/>
        <v>1</v>
      </c>
      <c r="AD73" s="17" t="s">
        <v>1463</v>
      </c>
      <c r="AE73" s="17">
        <f t="shared" si="9"/>
        <v>1</v>
      </c>
      <c r="AF73" s="17" t="s">
        <v>1464</v>
      </c>
      <c r="AG73" s="17" t="str">
        <f t="shared" si="10"/>
        <v>Methodological</v>
      </c>
      <c r="AH73" s="17" t="s">
        <v>1465</v>
      </c>
      <c r="AI73" s="16">
        <f t="shared" si="11"/>
        <v>6</v>
      </c>
      <c r="AJ73" s="17"/>
    </row>
    <row r="74" spans="1:38" ht="250.1" customHeight="1" x14ac:dyDescent="0.5">
      <c r="A74" s="16">
        <v>73</v>
      </c>
      <c r="B74" s="17" t="s">
        <v>35</v>
      </c>
      <c r="C74" s="17" t="s">
        <v>1466</v>
      </c>
      <c r="D74" s="17" t="s">
        <v>1467</v>
      </c>
      <c r="E74" s="17" t="s">
        <v>1468</v>
      </c>
      <c r="F74" s="17" t="s">
        <v>1469</v>
      </c>
      <c r="G74" s="17" t="s">
        <v>1470</v>
      </c>
      <c r="H74" s="17">
        <v>2022</v>
      </c>
      <c r="I74" s="17" t="s">
        <v>41</v>
      </c>
      <c r="J74" s="17" t="s">
        <v>1471</v>
      </c>
      <c r="K74" s="17" t="s">
        <v>1126</v>
      </c>
      <c r="L74" s="17">
        <v>3.4</v>
      </c>
      <c r="M74" s="17">
        <v>9</v>
      </c>
      <c r="N74" s="17" t="s">
        <v>1472</v>
      </c>
      <c r="O74" s="17" t="s">
        <v>1473</v>
      </c>
      <c r="P74" s="17" t="s">
        <v>1474</v>
      </c>
      <c r="Q74" s="17" t="s">
        <v>1475</v>
      </c>
      <c r="R74" s="17" cm="1">
        <f t="array" ref="R74">IF(AND(OR(ISNUMBER(SEARCH({"mzml","mzxml","mztab","mztab-m","mgf","mzdata","peakml","traml","mzidentml","pepxml","protxml","imzml","nmrml","fid","cnx","smiles","inchi","inchikey","sdf","mol","mol2","xyz","smi","pdb","mmcif","cif","fasta","fastq","gtf","sam","bam","vcf","csv","tsv","json","hdf5","h5ad","msp","ms","isa-tab","biom"},LOWER(P74)))),OR(ISNUMBER(SEARCH({"mzml","mzxml","mztab","mztab-m","mgf","msp","pepxml","protxml","mzidentml","idxml","featurexml","consensusxml","qcml","mzquantml","peakml","nmrml","massbank","smiles","inchi","inchikey","sdf","mol","smi","pdb","mmcif","cif","fasta","fastq","bam","vcf","genbank","gff","csv","tsv","json","xlsx","hdf5","h5ad","graphml","gml","isa-tab","blib","newick","onnx"},LOWER(Q74))))),1,0)</f>
        <v>1</v>
      </c>
      <c r="S74" s="17" t="s">
        <v>160</v>
      </c>
      <c r="T74" s="17" t="s">
        <v>160</v>
      </c>
      <c r="U74" s="17">
        <v>1</v>
      </c>
      <c r="V74" s="17" t="s">
        <v>1476</v>
      </c>
      <c r="W74" s="17">
        <f t="shared" si="6"/>
        <v>1</v>
      </c>
      <c r="X74" s="17" t="s">
        <v>1477</v>
      </c>
      <c r="Y74" s="17" t="s">
        <v>1478</v>
      </c>
      <c r="Z74" s="17" t="s">
        <v>160</v>
      </c>
      <c r="AA74" s="17">
        <f t="shared" si="7"/>
        <v>0</v>
      </c>
      <c r="AB74" s="17" t="s">
        <v>1479</v>
      </c>
      <c r="AC74" s="17">
        <f t="shared" si="8"/>
        <v>1</v>
      </c>
      <c r="AD74" s="17" t="s">
        <v>1480</v>
      </c>
      <c r="AE74" s="17">
        <f t="shared" si="9"/>
        <v>1</v>
      </c>
      <c r="AF74" s="17" t="s">
        <v>1481</v>
      </c>
      <c r="AG74" s="17" t="str">
        <f t="shared" si="10"/>
        <v>Clinical and Health</v>
      </c>
      <c r="AH74" s="17" t="s">
        <v>1482</v>
      </c>
      <c r="AI74" s="16">
        <f t="shared" si="11"/>
        <v>5</v>
      </c>
      <c r="AJ74" s="17"/>
    </row>
    <row r="75" spans="1:38" ht="250.1" customHeight="1" x14ac:dyDescent="0.5">
      <c r="A75" s="16">
        <v>74</v>
      </c>
      <c r="B75" s="17" t="s">
        <v>35</v>
      </c>
      <c r="C75" s="17" t="s">
        <v>1483</v>
      </c>
      <c r="D75" s="17" t="s">
        <v>1484</v>
      </c>
      <c r="E75" s="17" t="s">
        <v>1485</v>
      </c>
      <c r="F75" s="17" t="s">
        <v>1486</v>
      </c>
      <c r="G75" s="17" t="s">
        <v>1487</v>
      </c>
      <c r="H75" s="17">
        <v>2024</v>
      </c>
      <c r="I75" s="17" t="s">
        <v>41</v>
      </c>
      <c r="J75" s="17" t="s">
        <v>1488</v>
      </c>
      <c r="K75" s="17" t="s">
        <v>1489</v>
      </c>
      <c r="L75" s="17">
        <v>3.1</v>
      </c>
      <c r="M75" s="17">
        <v>0</v>
      </c>
      <c r="N75" s="17" t="s">
        <v>1490</v>
      </c>
      <c r="O75" s="17" t="s">
        <v>1491</v>
      </c>
      <c r="P75" s="17" t="s">
        <v>1492</v>
      </c>
      <c r="Q75" s="17" t="s">
        <v>1493</v>
      </c>
      <c r="R75" s="17" cm="1">
        <f t="array" ref="R75">IF(AND(OR(ISNUMBER(SEARCH({"mzml","mzxml","mztab","mztab-m","mgf","mzdata","peakml","traml","mzidentml","pepxml","protxml","imzml","nmrml","fid","cnx","smiles","inchi","inchikey","sdf","mol","mol2","xyz","smi","pdb","mmcif","cif","fasta","fastq","gtf","sam","bam","vcf","csv","tsv","json","hdf5","h5ad","msp","ms","isa-tab","biom"},LOWER(P75)))),OR(ISNUMBER(SEARCH({"mzml","mzxml","mztab","mztab-m","mgf","msp","pepxml","protxml","mzidentml","idxml","featurexml","consensusxml","qcml","mzquantml","peakml","nmrml","massbank","smiles","inchi","inchikey","sdf","mol","smi","pdb","mmcif","cif","fasta","fastq","bam","vcf","genbank","gff","csv","tsv","json","xlsx","hdf5","h5ad","graphml","gml","isa-tab","blib","newick","onnx"},LOWER(Q75))))),1,0)</f>
        <v>1</v>
      </c>
      <c r="S75" s="17" t="s">
        <v>1494</v>
      </c>
      <c r="T75" s="17" t="s">
        <v>1495</v>
      </c>
      <c r="U75" s="17">
        <v>1</v>
      </c>
      <c r="V75" s="17" t="s">
        <v>1496</v>
      </c>
      <c r="W75" s="17">
        <f t="shared" si="6"/>
        <v>0</v>
      </c>
      <c r="X75" s="17" t="s">
        <v>1497</v>
      </c>
      <c r="Y75" s="17" t="s">
        <v>1498</v>
      </c>
      <c r="Z75" s="17" t="s">
        <v>1499</v>
      </c>
      <c r="AA75" s="17">
        <f t="shared" si="7"/>
        <v>1</v>
      </c>
      <c r="AB75" s="17" t="s">
        <v>1500</v>
      </c>
      <c r="AC75" s="17">
        <f t="shared" si="8"/>
        <v>1</v>
      </c>
      <c r="AD75" s="17" t="s">
        <v>1501</v>
      </c>
      <c r="AE75" s="17">
        <f t="shared" si="9"/>
        <v>0</v>
      </c>
      <c r="AF75" s="17" t="s">
        <v>1502</v>
      </c>
      <c r="AG75" s="17" t="str">
        <f t="shared" si="10"/>
        <v>Methodological</v>
      </c>
      <c r="AH75" s="17" t="s">
        <v>1503</v>
      </c>
      <c r="AI75" s="16">
        <f t="shared" si="11"/>
        <v>4</v>
      </c>
      <c r="AJ75" s="17"/>
    </row>
    <row r="76" spans="1:38" ht="250.1" customHeight="1" x14ac:dyDescent="0.5">
      <c r="A76" s="16">
        <v>75</v>
      </c>
      <c r="B76" s="17" t="s">
        <v>101</v>
      </c>
      <c r="C76" s="17" t="s">
        <v>1504</v>
      </c>
      <c r="D76" s="17" t="s">
        <v>1505</v>
      </c>
      <c r="E76" s="17" t="s">
        <v>1506</v>
      </c>
      <c r="F76" s="17" t="s">
        <v>1507</v>
      </c>
      <c r="G76" s="17" t="s">
        <v>1508</v>
      </c>
      <c r="H76" s="17">
        <v>2021</v>
      </c>
      <c r="I76" s="17" t="s">
        <v>1509</v>
      </c>
      <c r="J76" s="17" t="s">
        <v>1510</v>
      </c>
      <c r="K76" s="17" t="s">
        <v>1511</v>
      </c>
      <c r="L76" s="17">
        <v>3.8</v>
      </c>
      <c r="M76" s="17">
        <v>21</v>
      </c>
      <c r="N76" s="17" t="s">
        <v>1512</v>
      </c>
      <c r="O76" s="17" t="s">
        <v>1513</v>
      </c>
      <c r="P76" s="17" t="s">
        <v>1514</v>
      </c>
      <c r="Q76" s="17" t="s">
        <v>1515</v>
      </c>
      <c r="R76" s="17" cm="1">
        <f t="array" ref="R76">IF(AND(OR(ISNUMBER(SEARCH({"mzml","mzxml","mztab","mztab-m","mgf","mzdata","peakml","traml","mzidentml","pepxml","protxml","imzml","nmrml","fid","cnx","smiles","inchi","inchikey","sdf","mol","mol2","xyz","smi","pdb","mmcif","cif","fasta","fastq","gtf","sam","bam","vcf","csv","tsv","json","hdf5","h5ad","msp","ms","isa-tab","biom"},LOWER(P76)))),OR(ISNUMBER(SEARCH({"mzml","mzxml","mztab","mztab-m","mgf","msp","pepxml","protxml","mzidentml","idxml","featurexml","consensusxml","qcml","mzquantml","peakml","nmrml","massbank","smiles","inchi","inchikey","sdf","mol","smi","pdb","mmcif","cif","fasta","fastq","bam","vcf","genbank","gff","csv","tsv","json","xlsx","hdf5","h5ad","graphml","gml","isa-tab","blib","newick","onnx"},LOWER(Q76))))),1,0)</f>
        <v>0</v>
      </c>
      <c r="S76" s="17" t="s">
        <v>160</v>
      </c>
      <c r="T76" s="17" t="s">
        <v>160</v>
      </c>
      <c r="U76" s="17">
        <v>0</v>
      </c>
      <c r="V76" s="17" t="s">
        <v>1516</v>
      </c>
      <c r="W76" s="17">
        <f t="shared" si="6"/>
        <v>1</v>
      </c>
      <c r="X76" s="17" t="s">
        <v>1517</v>
      </c>
      <c r="Y76" s="17" t="s">
        <v>160</v>
      </c>
      <c r="Z76" s="17" t="s">
        <v>1518</v>
      </c>
      <c r="AA76" s="17">
        <f t="shared" si="7"/>
        <v>1</v>
      </c>
      <c r="AB76" s="17" t="s">
        <v>1519</v>
      </c>
      <c r="AC76" s="17">
        <f t="shared" si="8"/>
        <v>1</v>
      </c>
      <c r="AD76" s="17" t="s">
        <v>1520</v>
      </c>
      <c r="AE76" s="17">
        <f t="shared" si="9"/>
        <v>1</v>
      </c>
      <c r="AF76" s="17" t="s">
        <v>1521</v>
      </c>
      <c r="AG76" s="17" t="str">
        <f t="shared" si="10"/>
        <v>Methodological</v>
      </c>
      <c r="AH76" s="17" t="s">
        <v>1522</v>
      </c>
      <c r="AI76" s="16">
        <f t="shared" si="11"/>
        <v>4</v>
      </c>
      <c r="AJ76" s="17"/>
    </row>
    <row r="77" spans="1:38" ht="250.1" customHeight="1" x14ac:dyDescent="0.5">
      <c r="A77" s="16">
        <v>76</v>
      </c>
      <c r="B77" s="17" t="s">
        <v>35</v>
      </c>
      <c r="C77" s="17" t="s">
        <v>1523</v>
      </c>
      <c r="D77" s="17" t="s">
        <v>1524</v>
      </c>
      <c r="E77" s="17" t="s">
        <v>1525</v>
      </c>
      <c r="F77" s="17" t="s">
        <v>1526</v>
      </c>
      <c r="G77" s="17" t="s">
        <v>1527</v>
      </c>
      <c r="H77" s="17">
        <v>2022</v>
      </c>
      <c r="I77" s="17" t="s">
        <v>41</v>
      </c>
      <c r="J77" s="17" t="s">
        <v>1528</v>
      </c>
      <c r="K77" s="17" t="s">
        <v>1286</v>
      </c>
      <c r="L77" s="17">
        <v>6.8</v>
      </c>
      <c r="M77" s="17">
        <v>6</v>
      </c>
      <c r="N77" s="17" t="s">
        <v>1529</v>
      </c>
      <c r="O77" s="17" t="s">
        <v>1530</v>
      </c>
      <c r="P77" s="17" t="s">
        <v>1531</v>
      </c>
      <c r="Q77" s="17" t="s">
        <v>1532</v>
      </c>
      <c r="R77" s="17" cm="1">
        <f t="array" ref="R77">IF(AND(OR(ISNUMBER(SEARCH({"mzml","mzxml","mztab","mztab-m","mgf","mzdata","peakml","traml","mzidentml","pepxml","protxml","imzml","nmrml","fid","cnx","smiles","inchi","inchikey","sdf","mol","mol2","xyz","smi","pdb","mmcif","cif","fasta","fastq","gtf","sam","bam","vcf","csv","tsv","json","hdf5","h5ad","msp","ms","isa-tab","biom"},LOWER(P77)))),OR(ISNUMBER(SEARCH({"mzml","mzxml","mztab","mztab-m","mgf","msp","pepxml","protxml","mzidentml","idxml","featurexml","consensusxml","qcml","mzquantml","peakml","nmrml","massbank","smiles","inchi","inchikey","sdf","mol","smi","pdb","mmcif","cif","fasta","fastq","bam","vcf","genbank","gff","csv","tsv","json","xlsx","hdf5","h5ad","graphml","gml","isa-tab","blib","newick","onnx"},LOWER(Q77))))),1,0)</f>
        <v>0</v>
      </c>
      <c r="S77" s="17" t="s">
        <v>1533</v>
      </c>
      <c r="T77" s="17" t="s">
        <v>1534</v>
      </c>
      <c r="U77" s="17">
        <v>1</v>
      </c>
      <c r="V77" s="17" t="s">
        <v>1535</v>
      </c>
      <c r="W77" s="17">
        <f t="shared" si="6"/>
        <v>1</v>
      </c>
      <c r="X77" s="17" t="s">
        <v>1536</v>
      </c>
      <c r="Y77" s="17" t="s">
        <v>1537</v>
      </c>
      <c r="Z77" s="17" t="s">
        <v>1538</v>
      </c>
      <c r="AA77" s="17">
        <f t="shared" si="7"/>
        <v>1</v>
      </c>
      <c r="AB77" s="17" t="s">
        <v>1539</v>
      </c>
      <c r="AC77" s="17">
        <f t="shared" si="8"/>
        <v>1</v>
      </c>
      <c r="AD77" s="17" t="s">
        <v>1540</v>
      </c>
      <c r="AE77" s="17">
        <f t="shared" si="9"/>
        <v>0</v>
      </c>
      <c r="AF77" s="17" t="s">
        <v>1541</v>
      </c>
      <c r="AG77" s="17" t="str">
        <f t="shared" si="10"/>
        <v>Clinical and Health</v>
      </c>
      <c r="AH77" s="17" t="s">
        <v>1542</v>
      </c>
      <c r="AI77" s="16">
        <f t="shared" si="11"/>
        <v>4</v>
      </c>
      <c r="AJ77" s="17"/>
    </row>
    <row r="78" spans="1:38" ht="250.1" customHeight="1" x14ac:dyDescent="0.5">
      <c r="A78" s="16">
        <v>77</v>
      </c>
      <c r="B78" s="17" t="s">
        <v>35</v>
      </c>
      <c r="C78" s="17" t="s">
        <v>1543</v>
      </c>
      <c r="D78" s="17" t="s">
        <v>1544</v>
      </c>
      <c r="E78" s="17" t="s">
        <v>1545</v>
      </c>
      <c r="F78" s="17" t="s">
        <v>1546</v>
      </c>
      <c r="G78" s="17" t="s">
        <v>1547</v>
      </c>
      <c r="H78" s="17">
        <v>2024</v>
      </c>
      <c r="I78" s="17" t="s">
        <v>1509</v>
      </c>
      <c r="J78" s="17" t="s">
        <v>1548</v>
      </c>
      <c r="K78" s="17" t="s">
        <v>273</v>
      </c>
      <c r="L78" s="17">
        <v>6.7</v>
      </c>
      <c r="M78" s="17">
        <v>0</v>
      </c>
      <c r="N78" s="17" t="s">
        <v>1549</v>
      </c>
      <c r="O78" s="17" t="s">
        <v>1550</v>
      </c>
      <c r="P78" s="17" t="s">
        <v>1551</v>
      </c>
      <c r="Q78" s="17" t="s">
        <v>1552</v>
      </c>
      <c r="R78" s="17" cm="1">
        <f t="array" ref="R78">IF(AND(OR(ISNUMBER(SEARCH({"mzml","mzxml","mztab","mztab-m","mgf","mzdata","peakml","traml","mzidentml","pepxml","protxml","imzml","nmrml","fid","cnx","smiles","inchi","inchikey","sdf","mol","mol2","xyz","smi","pdb","mmcif","cif","fasta","fastq","gtf","sam","bam","vcf","csv","tsv","json","hdf5","h5ad","msp","ms","isa-tab","biom"},LOWER(P78)))),OR(ISNUMBER(SEARCH({"mzml","mzxml","mztab","mztab-m","mgf","msp","pepxml","protxml","mzidentml","idxml","featurexml","consensusxml","qcml","mzquantml","peakml","nmrml","massbank","smiles","inchi","inchikey","sdf","mol","smi","pdb","mmcif","cif","fasta","fastq","bam","vcf","genbank","gff","csv","tsv","json","xlsx","hdf5","h5ad","graphml","gml","isa-tab","blib","newick","onnx"},LOWER(Q78))))),1,0)</f>
        <v>1</v>
      </c>
      <c r="S78" s="17" t="s">
        <v>160</v>
      </c>
      <c r="T78" s="17" t="s">
        <v>1553</v>
      </c>
      <c r="U78" s="17">
        <v>1</v>
      </c>
      <c r="V78" s="17" t="s">
        <v>1554</v>
      </c>
      <c r="W78" s="17">
        <f t="shared" si="6"/>
        <v>0</v>
      </c>
      <c r="X78" s="17" t="s">
        <v>1555</v>
      </c>
      <c r="Y78" s="17" t="s">
        <v>1556</v>
      </c>
      <c r="Z78" s="17" t="s">
        <v>1557</v>
      </c>
      <c r="AA78" s="17">
        <f t="shared" si="7"/>
        <v>1</v>
      </c>
      <c r="AB78" s="17" t="s">
        <v>1558</v>
      </c>
      <c r="AC78" s="17">
        <f t="shared" si="8"/>
        <v>1</v>
      </c>
      <c r="AD78" s="17" t="s">
        <v>1559</v>
      </c>
      <c r="AE78" s="17">
        <f t="shared" si="9"/>
        <v>0</v>
      </c>
      <c r="AF78" s="17" t="s">
        <v>1560</v>
      </c>
      <c r="AG78" s="17" t="str">
        <f t="shared" si="10"/>
        <v>Methodological</v>
      </c>
      <c r="AH78" s="17" t="s">
        <v>1561</v>
      </c>
      <c r="AI78" s="16">
        <f t="shared" si="11"/>
        <v>4</v>
      </c>
      <c r="AJ78" s="17"/>
    </row>
    <row r="79" spans="1:38" ht="250.1" customHeight="1" x14ac:dyDescent="0.5">
      <c r="A79" s="16">
        <v>78</v>
      </c>
      <c r="B79" s="17" t="s">
        <v>101</v>
      </c>
      <c r="C79" s="17" t="s">
        <v>1562</v>
      </c>
      <c r="D79" s="17" t="s">
        <v>1563</v>
      </c>
      <c r="E79" s="17" t="s">
        <v>1564</v>
      </c>
      <c r="F79" s="17" t="s">
        <v>1565</v>
      </c>
      <c r="G79" s="17" t="s">
        <v>1566</v>
      </c>
      <c r="H79" s="17">
        <v>2014</v>
      </c>
      <c r="I79" s="17" t="s">
        <v>1567</v>
      </c>
      <c r="J79" s="17" t="s">
        <v>1568</v>
      </c>
      <c r="K79" s="17" t="s">
        <v>1569</v>
      </c>
      <c r="L79" s="17">
        <v>2.8</v>
      </c>
      <c r="M79" s="17">
        <v>137</v>
      </c>
      <c r="N79" s="17" t="s">
        <v>1570</v>
      </c>
      <c r="O79" s="17" t="s">
        <v>1571</v>
      </c>
      <c r="P79" s="17" t="s">
        <v>1572</v>
      </c>
      <c r="Q79" s="17" t="s">
        <v>1573</v>
      </c>
      <c r="R79" s="17" cm="1">
        <f t="array" ref="R79">IF(AND(OR(ISNUMBER(SEARCH({"mzml","mzxml","mztab","mztab-m","mgf","mzdata","peakml","traml","mzidentml","pepxml","protxml","imzml","nmrml","fid","cnx","smiles","inchi","inchikey","sdf","mol","mol2","xyz","smi","pdb","mmcif","cif","fasta","fastq","gtf","sam","bam","vcf","csv","tsv","json","hdf5","h5ad","msp","ms","isa-tab","biom"},LOWER(P79)))),OR(ISNUMBER(SEARCH({"mzml","mzxml","mztab","mztab-m","mgf","msp","pepxml","protxml","mzidentml","idxml","featurexml","consensusxml","qcml","mzquantml","peakml","nmrml","massbank","smiles","inchi","inchikey","sdf","mol","smi","pdb","mmcif","cif","fasta","fastq","bam","vcf","genbank","gff","csv","tsv","json","xlsx","hdf5","h5ad","graphml","gml","isa-tab","blib","newick","onnx"},LOWER(Q79))))),1,0)</f>
        <v>1</v>
      </c>
      <c r="S79" s="17" t="s">
        <v>1574</v>
      </c>
      <c r="T79" s="17" t="s">
        <v>1575</v>
      </c>
      <c r="U79" s="17">
        <v>1</v>
      </c>
      <c r="V79" s="17" t="s">
        <v>1576</v>
      </c>
      <c r="W79" s="17">
        <f t="shared" si="6"/>
        <v>1</v>
      </c>
      <c r="X79" s="17" t="s">
        <v>1577</v>
      </c>
      <c r="Y79" s="17" t="s">
        <v>1578</v>
      </c>
      <c r="Z79" s="17" t="s">
        <v>1579</v>
      </c>
      <c r="AA79" s="17">
        <f t="shared" si="7"/>
        <v>1</v>
      </c>
      <c r="AB79" s="17" t="s">
        <v>1580</v>
      </c>
      <c r="AC79" s="17">
        <f t="shared" si="8"/>
        <v>1</v>
      </c>
      <c r="AD79" s="17" t="s">
        <v>1581</v>
      </c>
      <c r="AE79" s="17">
        <f t="shared" si="9"/>
        <v>1</v>
      </c>
      <c r="AF79" s="17" t="s">
        <v>1582</v>
      </c>
      <c r="AG79" s="17" t="str">
        <f t="shared" si="10"/>
        <v>Methodological</v>
      </c>
      <c r="AH79" s="17" t="s">
        <v>1583</v>
      </c>
      <c r="AI79" s="16">
        <f t="shared" si="11"/>
        <v>6</v>
      </c>
      <c r="AJ79" s="17"/>
    </row>
    <row r="80" spans="1:38" ht="250.1" customHeight="1" x14ac:dyDescent="0.5">
      <c r="A80" s="16">
        <v>79</v>
      </c>
      <c r="B80" s="17" t="s">
        <v>101</v>
      </c>
      <c r="C80" s="17" t="s">
        <v>1584</v>
      </c>
      <c r="D80" s="17" t="s">
        <v>1585</v>
      </c>
      <c r="E80" s="17" t="s">
        <v>1586</v>
      </c>
      <c r="F80" s="17" t="s">
        <v>1587</v>
      </c>
      <c r="G80" s="17" t="s">
        <v>1588</v>
      </c>
      <c r="H80" s="17">
        <v>2019</v>
      </c>
      <c r="I80" s="17" t="s">
        <v>1589</v>
      </c>
      <c r="J80" s="17" t="s">
        <v>1590</v>
      </c>
      <c r="K80" s="17" t="s">
        <v>1591</v>
      </c>
      <c r="L80" s="17" t="s">
        <v>252</v>
      </c>
      <c r="M80" s="17">
        <v>48546</v>
      </c>
      <c r="N80" s="17" t="s">
        <v>1592</v>
      </c>
      <c r="O80" s="17" t="s">
        <v>1593</v>
      </c>
      <c r="P80" s="17" t="s">
        <v>1594</v>
      </c>
      <c r="Q80" s="17" t="s">
        <v>1595</v>
      </c>
      <c r="R80" s="17" cm="1">
        <f t="array" ref="R80">IF(AND(OR(ISNUMBER(SEARCH({"mzml","mzxml","mztab","mztab-m","mgf","mzdata","peakml","traml","mzidentml","pepxml","protxml","imzml","nmrml","fid","cnx","smiles","inchi","inchikey","sdf","mol","mol2","xyz","smi","pdb","mmcif","cif","fasta","fastq","gtf","sam","bam","vcf","csv","tsv","json","hdf5","h5ad","msp","ms","isa-tab","biom"},LOWER(P80)))),OR(ISNUMBER(SEARCH({"mzml","mzxml","mztab","mztab-m","mgf","msp","pepxml","protxml","mzidentml","idxml","featurexml","consensusxml","qcml","mzquantml","peakml","nmrml","massbank","smiles","inchi","inchikey","sdf","mol","smi","pdb","mmcif","cif","fasta","fastq","bam","vcf","genbank","gff","csv","tsv","json","xlsx","hdf5","h5ad","graphml","gml","isa-tab","blib","newick","onnx"},LOWER(Q80))))),1,0)</f>
        <v>0</v>
      </c>
      <c r="S80" s="17" t="s">
        <v>1596</v>
      </c>
      <c r="T80" s="17" t="s">
        <v>1597</v>
      </c>
      <c r="U80" s="17">
        <v>1</v>
      </c>
      <c r="V80" s="17" t="s">
        <v>1598</v>
      </c>
      <c r="W80" s="17">
        <f t="shared" si="6"/>
        <v>0</v>
      </c>
      <c r="X80" s="17" t="s">
        <v>1599</v>
      </c>
      <c r="Y80" s="17" t="s">
        <v>1600</v>
      </c>
      <c r="Z80" s="17" t="s">
        <v>1601</v>
      </c>
      <c r="AA80" s="17">
        <f t="shared" si="7"/>
        <v>1</v>
      </c>
      <c r="AB80" s="17" t="s">
        <v>1602</v>
      </c>
      <c r="AC80" s="17">
        <f t="shared" si="8"/>
        <v>1</v>
      </c>
      <c r="AD80" s="17" t="s">
        <v>1603</v>
      </c>
      <c r="AE80" s="17">
        <f t="shared" si="9"/>
        <v>1</v>
      </c>
      <c r="AF80" s="17" t="s">
        <v>1604</v>
      </c>
      <c r="AG80" s="17" t="str">
        <f t="shared" si="10"/>
        <v>Methodological</v>
      </c>
      <c r="AH80" s="17" t="s">
        <v>1605</v>
      </c>
      <c r="AI80" s="16">
        <f t="shared" si="11"/>
        <v>4</v>
      </c>
      <c r="AJ80" s="17"/>
    </row>
    <row r="81" spans="1:38" ht="250.1" customHeight="1" x14ac:dyDescent="0.5">
      <c r="A81" s="16">
        <v>80</v>
      </c>
      <c r="B81" s="17" t="s">
        <v>101</v>
      </c>
      <c r="C81" s="17" t="s">
        <v>1606</v>
      </c>
      <c r="D81" s="17" t="s">
        <v>1607</v>
      </c>
      <c r="E81" s="17" t="s">
        <v>1608</v>
      </c>
      <c r="F81" s="17" t="s">
        <v>1609</v>
      </c>
      <c r="G81" s="17" t="s">
        <v>1610</v>
      </c>
      <c r="H81" s="17">
        <v>2018</v>
      </c>
      <c r="I81" s="17" t="s">
        <v>41</v>
      </c>
      <c r="J81" s="17" t="s">
        <v>1611</v>
      </c>
      <c r="K81" s="17" t="s">
        <v>1126</v>
      </c>
      <c r="L81" s="17">
        <v>3.4</v>
      </c>
      <c r="M81" s="17">
        <v>67</v>
      </c>
      <c r="N81" s="17" t="s">
        <v>1612</v>
      </c>
      <c r="O81" s="17" t="s">
        <v>1613</v>
      </c>
      <c r="P81" s="17" t="s">
        <v>1614</v>
      </c>
      <c r="Q81" s="17" t="s">
        <v>1615</v>
      </c>
      <c r="R81" s="17" cm="1">
        <f t="array" ref="R81">IF(AND(OR(ISNUMBER(SEARCH({"mzml","mzxml","mztab","mztab-m","mgf","mzdata","peakml","traml","mzidentml","pepxml","protxml","imzml","nmrml","fid","cnx","smiles","inchi","inchikey","sdf","mol","mol2","xyz","smi","pdb","mmcif","cif","fasta","fastq","gtf","sam","bam","vcf","csv","tsv","json","hdf5","h5ad","msp","ms","isa-tab","biom"},LOWER(P81)))),OR(ISNUMBER(SEARCH({"mzml","mzxml","mztab","mztab-m","mgf","msp","pepxml","protxml","mzidentml","idxml","featurexml","consensusxml","qcml","mzquantml","peakml","nmrml","massbank","smiles","inchi","inchikey","sdf","mol","smi","pdb","mmcif","cif","fasta","fastq","bam","vcf","genbank","gff","csv","tsv","json","xlsx","hdf5","h5ad","graphml","gml","isa-tab","blib","newick","onnx"},LOWER(Q81))))),1,0)</f>
        <v>0</v>
      </c>
      <c r="S81" s="17" t="s">
        <v>1616</v>
      </c>
      <c r="T81" s="17" t="s">
        <v>1617</v>
      </c>
      <c r="U81" s="17">
        <v>1</v>
      </c>
      <c r="V81" s="17" t="s">
        <v>1618</v>
      </c>
      <c r="W81" s="17">
        <f t="shared" si="6"/>
        <v>1</v>
      </c>
      <c r="X81" s="17" t="s">
        <v>1619</v>
      </c>
      <c r="Y81" s="17" t="s">
        <v>1620</v>
      </c>
      <c r="Z81" s="17" t="s">
        <v>1621</v>
      </c>
      <c r="AA81" s="17">
        <f t="shared" si="7"/>
        <v>1</v>
      </c>
      <c r="AB81" s="17" t="s">
        <v>1622</v>
      </c>
      <c r="AC81" s="17">
        <f t="shared" si="8"/>
        <v>1</v>
      </c>
      <c r="AD81" s="17" t="s">
        <v>1623</v>
      </c>
      <c r="AE81" s="17">
        <f t="shared" si="9"/>
        <v>0</v>
      </c>
      <c r="AF81" s="17" t="s">
        <v>1624</v>
      </c>
      <c r="AG81" s="17" t="str">
        <f t="shared" si="10"/>
        <v>Methodological</v>
      </c>
      <c r="AH81" s="17" t="s">
        <v>1625</v>
      </c>
      <c r="AI81" s="16">
        <f t="shared" si="11"/>
        <v>4</v>
      </c>
      <c r="AJ81" s="17"/>
    </row>
    <row r="82" spans="1:38" ht="250.1" customHeight="1" x14ac:dyDescent="0.5">
      <c r="A82" s="16">
        <v>81</v>
      </c>
      <c r="B82" s="17" t="s">
        <v>101</v>
      </c>
      <c r="C82" s="17" t="s">
        <v>1626</v>
      </c>
      <c r="D82" s="17" t="s">
        <v>1627</v>
      </c>
      <c r="E82" s="17" t="s">
        <v>1628</v>
      </c>
      <c r="F82" s="17" t="s">
        <v>1629</v>
      </c>
      <c r="G82" s="17" t="s">
        <v>1630</v>
      </c>
      <c r="H82" s="17">
        <v>2020</v>
      </c>
      <c r="I82" s="17" t="s">
        <v>41</v>
      </c>
      <c r="J82" s="17" t="s">
        <v>1631</v>
      </c>
      <c r="K82" s="17" t="s">
        <v>514</v>
      </c>
      <c r="L82" s="17">
        <v>63.1</v>
      </c>
      <c r="M82" s="17">
        <v>92</v>
      </c>
      <c r="N82" s="17" t="s">
        <v>1632</v>
      </c>
      <c r="O82" s="17" t="s">
        <v>1633</v>
      </c>
      <c r="P82" s="17" t="s">
        <v>1634</v>
      </c>
      <c r="Q82" s="17" t="s">
        <v>1635</v>
      </c>
      <c r="R82" s="17" cm="1">
        <f t="array" ref="R82">IF(AND(OR(ISNUMBER(SEARCH({"mzml","mzxml","mztab","mztab-m","mgf","mzdata","peakml","traml","mzidentml","pepxml","protxml","imzml","nmrml","fid","cnx","smiles","inchi","inchikey","sdf","mol","mol2","xyz","smi","pdb","mmcif","cif","fasta","fastq","gtf","sam","bam","vcf","csv","tsv","json","hdf5","h5ad","msp","ms","isa-tab","biom"},LOWER(P82)))),OR(ISNUMBER(SEARCH({"mzml","mzxml","mztab","mztab-m","mgf","msp","pepxml","protxml","mzidentml","idxml","featurexml","consensusxml","qcml","mzquantml","peakml","nmrml","massbank","smiles","inchi","inchikey","sdf","mol","smi","pdb","mmcif","cif","fasta","fastq","bam","vcf","genbank","gff","csv","tsv","json","xlsx","hdf5","h5ad","graphml","gml","isa-tab","blib","newick","onnx"},LOWER(Q82))))),1,0)</f>
        <v>1</v>
      </c>
      <c r="S82" s="17" t="s">
        <v>1636</v>
      </c>
      <c r="T82" s="17" t="s">
        <v>1637</v>
      </c>
      <c r="U82" s="17">
        <v>1</v>
      </c>
      <c r="V82" s="17" t="s">
        <v>1638</v>
      </c>
      <c r="W82" s="17">
        <f t="shared" si="6"/>
        <v>1</v>
      </c>
      <c r="X82" s="17" t="s">
        <v>1639</v>
      </c>
      <c r="Y82" s="17" t="s">
        <v>1640</v>
      </c>
      <c r="Z82" s="17" t="s">
        <v>1641</v>
      </c>
      <c r="AA82" s="17">
        <f t="shared" si="7"/>
        <v>1</v>
      </c>
      <c r="AB82" s="17" t="s">
        <v>1642</v>
      </c>
      <c r="AC82" s="17">
        <f t="shared" si="8"/>
        <v>1</v>
      </c>
      <c r="AD82" s="17" t="s">
        <v>1643</v>
      </c>
      <c r="AE82" s="17">
        <f t="shared" si="9"/>
        <v>0</v>
      </c>
      <c r="AF82" s="17" t="s">
        <v>1644</v>
      </c>
      <c r="AG82" s="17" t="str">
        <f t="shared" si="10"/>
        <v>Methodological</v>
      </c>
      <c r="AH82" s="17" t="s">
        <v>1645</v>
      </c>
      <c r="AI82" s="16">
        <f t="shared" si="11"/>
        <v>5</v>
      </c>
      <c r="AJ82" s="17"/>
    </row>
    <row r="83" spans="1:38" ht="250.1" customHeight="1" x14ac:dyDescent="0.5">
      <c r="A83" s="16">
        <v>82</v>
      </c>
      <c r="B83" s="17" t="s">
        <v>101</v>
      </c>
      <c r="C83" s="17" t="s">
        <v>1646</v>
      </c>
      <c r="D83" s="17" t="s">
        <v>1647</v>
      </c>
      <c r="E83" s="17" t="s">
        <v>1648</v>
      </c>
      <c r="F83" s="17" t="s">
        <v>1649</v>
      </c>
      <c r="G83" s="17" t="s">
        <v>1650</v>
      </c>
      <c r="H83" s="17">
        <v>2020</v>
      </c>
      <c r="I83" s="17" t="s">
        <v>41</v>
      </c>
      <c r="J83" s="17" t="s">
        <v>1651</v>
      </c>
      <c r="K83" s="17" t="s">
        <v>1652</v>
      </c>
      <c r="L83" s="17">
        <v>4.9000000000000004</v>
      </c>
      <c r="M83" s="17">
        <v>26</v>
      </c>
      <c r="N83" s="17" t="s">
        <v>1653</v>
      </c>
      <c r="O83" s="17" t="s">
        <v>1654</v>
      </c>
      <c r="P83" s="17" t="s">
        <v>1655</v>
      </c>
      <c r="Q83" s="17" t="s">
        <v>1656</v>
      </c>
      <c r="R83" s="17" cm="1">
        <f t="array" ref="R83">IF(AND(OR(ISNUMBER(SEARCH({"mzml","mzxml","mztab","mztab-m","mgf","mzdata","peakml","traml","mzidentml","pepxml","protxml","imzml","nmrml","fid","cnx","smiles","inchi","inchikey","sdf","mol","mol2","xyz","smi","pdb","mmcif","cif","fasta","fastq","gtf","sam","bam","vcf","csv","tsv","json","hdf5","h5ad","msp","ms","isa-tab","biom"},LOWER(P83)))),OR(ISNUMBER(SEARCH({"mzml","mzxml","mztab","mztab-m","mgf","msp","pepxml","protxml","mzidentml","idxml","featurexml","consensusxml","qcml","mzquantml","peakml","nmrml","massbank","smiles","inchi","inchikey","sdf","mol","smi","pdb","mmcif","cif","fasta","fastq","bam","vcf","genbank","gff","csv","tsv","json","xlsx","hdf5","h5ad","graphml","gml","isa-tab","blib","newick","onnx"},LOWER(Q83))))),1,0)</f>
        <v>0</v>
      </c>
      <c r="S83" s="17" t="s">
        <v>1657</v>
      </c>
      <c r="T83" s="17" t="s">
        <v>1658</v>
      </c>
      <c r="U83" s="17">
        <v>1</v>
      </c>
      <c r="V83" s="17" t="s">
        <v>1659</v>
      </c>
      <c r="W83" s="17">
        <f t="shared" si="6"/>
        <v>1</v>
      </c>
      <c r="X83" s="17" t="s">
        <v>1660</v>
      </c>
      <c r="Y83" s="17" t="s">
        <v>1661</v>
      </c>
      <c r="Z83" s="17" t="s">
        <v>1662</v>
      </c>
      <c r="AA83" s="17">
        <f t="shared" si="7"/>
        <v>1</v>
      </c>
      <c r="AB83" s="17" t="s">
        <v>1663</v>
      </c>
      <c r="AC83" s="17">
        <f t="shared" si="8"/>
        <v>1</v>
      </c>
      <c r="AD83" s="17" t="s">
        <v>1664</v>
      </c>
      <c r="AE83" s="17">
        <f t="shared" si="9"/>
        <v>1</v>
      </c>
      <c r="AF83" s="17" t="s">
        <v>1665</v>
      </c>
      <c r="AG83" s="17" t="str">
        <f t="shared" si="10"/>
        <v>Methodological</v>
      </c>
      <c r="AH83" s="17" t="s">
        <v>1666</v>
      </c>
      <c r="AI83" s="16">
        <f t="shared" si="11"/>
        <v>5</v>
      </c>
      <c r="AJ83" s="17"/>
    </row>
    <row r="84" spans="1:38" ht="250.1" customHeight="1" x14ac:dyDescent="0.5">
      <c r="A84" s="16">
        <v>83</v>
      </c>
      <c r="B84" s="17" t="s">
        <v>101</v>
      </c>
      <c r="C84" s="17" t="s">
        <v>1667</v>
      </c>
      <c r="D84" s="17" t="s">
        <v>1668</v>
      </c>
      <c r="E84" s="17" t="s">
        <v>1669</v>
      </c>
      <c r="F84" s="17" t="s">
        <v>1670</v>
      </c>
      <c r="G84" s="17" t="s">
        <v>1671</v>
      </c>
      <c r="H84" s="17">
        <v>2024</v>
      </c>
      <c r="I84" s="17" t="s">
        <v>390</v>
      </c>
      <c r="J84" s="17" t="s">
        <v>1672</v>
      </c>
      <c r="K84" s="17" t="s">
        <v>273</v>
      </c>
      <c r="L84" s="17">
        <v>6.7</v>
      </c>
      <c r="M84" s="17">
        <v>0</v>
      </c>
      <c r="N84" s="17" t="s">
        <v>1673</v>
      </c>
      <c r="O84" s="17" t="s">
        <v>1674</v>
      </c>
      <c r="P84" s="17" t="s">
        <v>1675</v>
      </c>
      <c r="Q84" s="17" t="s">
        <v>1676</v>
      </c>
      <c r="R84" s="17" cm="1">
        <f t="array" ref="R84">IF(AND(OR(ISNUMBER(SEARCH({"mzml","mzxml","mztab","mztab-m","mgf","mzdata","peakml","traml","mzidentml","pepxml","protxml","imzml","nmrml","fid","cnx","smiles","inchi","inchikey","sdf","mol","mol2","xyz","smi","pdb","mmcif","cif","fasta","fastq","gtf","sam","bam","vcf","csv","tsv","json","hdf5","h5ad","msp","ms","isa-tab","biom"},LOWER(P84)))),OR(ISNUMBER(SEARCH({"mzml","mzxml","mztab","mztab-m","mgf","msp","pepxml","protxml","mzidentml","idxml","featurexml","consensusxml","qcml","mzquantml","peakml","nmrml","massbank","smiles","inchi","inchikey","sdf","mol","smi","pdb","mmcif","cif","fasta","fastq","bam","vcf","genbank","gff","csv","tsv","json","xlsx","hdf5","h5ad","graphml","gml","isa-tab","blib","newick","onnx"},LOWER(Q84))))),1,0)</f>
        <v>1</v>
      </c>
      <c r="S84" s="17" t="s">
        <v>1677</v>
      </c>
      <c r="T84" s="17" t="s">
        <v>1678</v>
      </c>
      <c r="U84" s="17">
        <v>1</v>
      </c>
      <c r="V84" s="17" t="s">
        <v>1679</v>
      </c>
      <c r="W84" s="17">
        <f t="shared" si="6"/>
        <v>0</v>
      </c>
      <c r="X84" s="17" t="s">
        <v>1680</v>
      </c>
      <c r="Y84" s="17" t="s">
        <v>1681</v>
      </c>
      <c r="Z84" s="17" t="s">
        <v>1682</v>
      </c>
      <c r="AA84" s="17">
        <f t="shared" si="7"/>
        <v>1</v>
      </c>
      <c r="AB84" s="17" t="s">
        <v>1683</v>
      </c>
      <c r="AC84" s="17">
        <f t="shared" si="8"/>
        <v>1</v>
      </c>
      <c r="AD84" s="17" t="s">
        <v>1684</v>
      </c>
      <c r="AE84" s="17">
        <f t="shared" si="9"/>
        <v>0</v>
      </c>
      <c r="AF84" s="17" t="s">
        <v>1685</v>
      </c>
      <c r="AG84" s="17" t="str">
        <f t="shared" si="10"/>
        <v>Clinical and Health</v>
      </c>
      <c r="AH84" s="17" t="s">
        <v>1686</v>
      </c>
      <c r="AI84" s="16">
        <f t="shared" si="11"/>
        <v>4</v>
      </c>
      <c r="AJ84" s="17"/>
    </row>
    <row r="85" spans="1:38" ht="250.1" customHeight="1" x14ac:dyDescent="0.5">
      <c r="A85" s="16">
        <v>84</v>
      </c>
      <c r="B85" s="17" t="s">
        <v>101</v>
      </c>
      <c r="C85" s="17" t="s">
        <v>1687</v>
      </c>
      <c r="D85" s="17" t="s">
        <v>1688</v>
      </c>
      <c r="E85" s="17" t="s">
        <v>1689</v>
      </c>
      <c r="F85" s="17" t="s">
        <v>1690</v>
      </c>
      <c r="G85" s="17" t="s">
        <v>1691</v>
      </c>
      <c r="H85" s="17">
        <v>2019</v>
      </c>
      <c r="I85" s="17" t="s">
        <v>1044</v>
      </c>
      <c r="J85" s="17" t="s">
        <v>1692</v>
      </c>
      <c r="K85" s="17" t="s">
        <v>1693</v>
      </c>
      <c r="L85" s="17">
        <v>1.9</v>
      </c>
      <c r="M85" s="17">
        <v>453</v>
      </c>
      <c r="N85" s="17" t="s">
        <v>1694</v>
      </c>
      <c r="O85" s="17" t="s">
        <v>1695</v>
      </c>
      <c r="P85" s="17" t="s">
        <v>1696</v>
      </c>
      <c r="Q85" s="17" t="s">
        <v>1697</v>
      </c>
      <c r="R85" s="17" cm="1">
        <f t="array" ref="R85">IF(AND(OR(ISNUMBER(SEARCH({"mzml","mzxml","mztab","mztab-m","mgf","mzdata","peakml","traml","mzidentml","pepxml","protxml","imzml","nmrml","fid","cnx","smiles","inchi","inchikey","sdf","mol","mol2","xyz","smi","pdb","mmcif","cif","fasta","fastq","gtf","sam","bam","vcf","csv","tsv","json","hdf5","h5ad","msp","ms","isa-tab","biom"},LOWER(P85)))),OR(ISNUMBER(SEARCH({"mzml","mzxml","mztab","mztab-m","mgf","msp","pepxml","protxml","mzidentml","idxml","featurexml","consensusxml","qcml","mzquantml","peakml","nmrml","massbank","smiles","inchi","inchikey","sdf","mol","smi","pdb","mmcif","cif","fasta","fastq","bam","vcf","genbank","gff","csv","tsv","json","xlsx","hdf5","h5ad","graphml","gml","isa-tab","blib","newick","onnx"},LOWER(Q85))))),1,0)</f>
        <v>0</v>
      </c>
      <c r="S85" s="17" t="s">
        <v>1698</v>
      </c>
      <c r="T85" s="17" t="s">
        <v>1699</v>
      </c>
      <c r="U85" s="17">
        <v>0</v>
      </c>
      <c r="V85" s="17" t="s">
        <v>1700</v>
      </c>
      <c r="W85" s="17">
        <f t="shared" si="6"/>
        <v>0</v>
      </c>
      <c r="X85" s="17" t="s">
        <v>1701</v>
      </c>
      <c r="Y85" s="17" t="s">
        <v>1702</v>
      </c>
      <c r="Z85" s="17" t="s">
        <v>1703</v>
      </c>
      <c r="AA85" s="17">
        <f t="shared" si="7"/>
        <v>1</v>
      </c>
      <c r="AB85" s="17" t="s">
        <v>1704</v>
      </c>
      <c r="AC85" s="17">
        <f t="shared" si="8"/>
        <v>0</v>
      </c>
      <c r="AD85" s="17" t="s">
        <v>1705</v>
      </c>
      <c r="AE85" s="17">
        <f t="shared" si="9"/>
        <v>1</v>
      </c>
      <c r="AF85" s="17" t="s">
        <v>1706</v>
      </c>
      <c r="AG85" s="17" t="str">
        <f t="shared" si="10"/>
        <v>Methodological</v>
      </c>
      <c r="AH85" s="17" t="s">
        <v>1707</v>
      </c>
      <c r="AI85" s="16">
        <f t="shared" si="11"/>
        <v>2</v>
      </c>
      <c r="AJ85" s="17"/>
    </row>
    <row r="86" spans="1:38" ht="250.1" customHeight="1" x14ac:dyDescent="0.5">
      <c r="A86" s="16">
        <v>85</v>
      </c>
      <c r="B86" s="17" t="s">
        <v>101</v>
      </c>
      <c r="C86" s="17" t="s">
        <v>1708</v>
      </c>
      <c r="D86" s="17" t="s">
        <v>1709</v>
      </c>
      <c r="E86" s="17" t="s">
        <v>1710</v>
      </c>
      <c r="F86" s="17" t="s">
        <v>1711</v>
      </c>
      <c r="G86" s="17" t="s">
        <v>1712</v>
      </c>
      <c r="H86" s="17">
        <v>2015</v>
      </c>
      <c r="I86" s="17" t="s">
        <v>1713</v>
      </c>
      <c r="J86" s="17" t="s">
        <v>1714</v>
      </c>
      <c r="K86" s="17" t="s">
        <v>1715</v>
      </c>
      <c r="L86" s="17">
        <v>2.4</v>
      </c>
      <c r="M86" s="17">
        <v>14</v>
      </c>
      <c r="N86" s="17" t="s">
        <v>1716</v>
      </c>
      <c r="O86" s="17" t="s">
        <v>1717</v>
      </c>
      <c r="P86" s="17" t="s">
        <v>1718</v>
      </c>
      <c r="Q86" s="17" t="s">
        <v>1719</v>
      </c>
      <c r="R86" s="17" cm="1">
        <f t="array" ref="R86">IF(AND(OR(ISNUMBER(SEARCH({"mzml","mzxml","mztab","mztab-m","mgf","mzdata","peakml","traml","mzidentml","pepxml","protxml","imzml","nmrml","fid","cnx","smiles","inchi","inchikey","sdf","mol","mol2","xyz","smi","pdb","mmcif","cif","fasta","fastq","gtf","sam","bam","vcf","csv","tsv","json","hdf5","h5ad","msp","ms","isa-tab","biom"},LOWER(P86)))),OR(ISNUMBER(SEARCH({"mzml","mzxml","mztab","mztab-m","mgf","msp","pepxml","protxml","mzidentml","idxml","featurexml","consensusxml","qcml","mzquantml","peakml","nmrml","massbank","smiles","inchi","inchikey","sdf","mol","smi","pdb","mmcif","cif","fasta","fastq","bam","vcf","genbank","gff","csv","tsv","json","xlsx","hdf5","h5ad","graphml","gml","isa-tab","blib","newick","onnx"},LOWER(Q86))))),1,0)</f>
        <v>0</v>
      </c>
      <c r="S86" s="17" t="s">
        <v>1720</v>
      </c>
      <c r="T86" s="17" t="s">
        <v>1721</v>
      </c>
      <c r="U86" s="17">
        <v>1</v>
      </c>
      <c r="V86" s="17" t="s">
        <v>1722</v>
      </c>
      <c r="W86" s="17">
        <f t="shared" si="6"/>
        <v>0</v>
      </c>
      <c r="X86" s="17" t="s">
        <v>1723</v>
      </c>
      <c r="Y86" s="17" t="s">
        <v>658</v>
      </c>
      <c r="Z86" s="17" t="s">
        <v>1724</v>
      </c>
      <c r="AA86" s="17">
        <f t="shared" si="7"/>
        <v>1</v>
      </c>
      <c r="AB86" s="17" t="s">
        <v>1725</v>
      </c>
      <c r="AC86" s="17">
        <f t="shared" si="8"/>
        <v>1</v>
      </c>
      <c r="AD86" s="17" t="s">
        <v>1726</v>
      </c>
      <c r="AE86" s="17">
        <f t="shared" si="9"/>
        <v>0</v>
      </c>
      <c r="AF86" s="17" t="s">
        <v>1727</v>
      </c>
      <c r="AG86" s="17" t="str">
        <f t="shared" si="10"/>
        <v>Methodological</v>
      </c>
      <c r="AH86" s="17" t="s">
        <v>1728</v>
      </c>
      <c r="AI86" s="16">
        <f t="shared" si="11"/>
        <v>3</v>
      </c>
      <c r="AJ86" s="17"/>
    </row>
    <row r="87" spans="1:38" ht="250.1" customHeight="1" x14ac:dyDescent="0.5">
      <c r="A87" s="16">
        <v>86</v>
      </c>
      <c r="B87" s="17" t="s">
        <v>79</v>
      </c>
      <c r="C87" s="17" t="s">
        <v>1729</v>
      </c>
      <c r="D87" s="17" t="s">
        <v>1730</v>
      </c>
      <c r="E87" s="17" t="s">
        <v>1731</v>
      </c>
      <c r="F87" s="17" t="s">
        <v>1732</v>
      </c>
      <c r="G87" s="17" t="s">
        <v>1733</v>
      </c>
      <c r="H87" s="17">
        <v>2020</v>
      </c>
      <c r="I87" s="17" t="s">
        <v>390</v>
      </c>
      <c r="J87" s="17" t="s">
        <v>1734</v>
      </c>
      <c r="K87" s="17" t="s">
        <v>273</v>
      </c>
      <c r="L87" s="17">
        <v>6.7</v>
      </c>
      <c r="M87" s="17">
        <v>16</v>
      </c>
      <c r="N87" s="17" t="s">
        <v>1735</v>
      </c>
      <c r="O87" s="17" t="s">
        <v>1736</v>
      </c>
      <c r="P87" s="17" t="s">
        <v>1737</v>
      </c>
      <c r="Q87" s="17" t="s">
        <v>1738</v>
      </c>
      <c r="R87" s="17" cm="1">
        <f t="array" ref="R87">IF(AND(OR(ISNUMBER(SEARCH({"mzml","mzxml","mztab","mztab-m","mgf","mzdata","peakml","traml","mzidentml","pepxml","protxml","imzml","nmrml","fid","cnx","smiles","inchi","inchikey","sdf","mol","mol2","xyz","smi","pdb","mmcif","cif","fasta","fastq","gtf","sam","bam","vcf","csv","tsv","json","hdf5","h5ad","msp","ms","isa-tab","biom"},LOWER(P87)))),OR(ISNUMBER(SEARCH({"mzml","mzxml","mztab","mztab-m","mgf","msp","pepxml","protxml","mzidentml","idxml","featurexml","consensusxml","qcml","mzquantml","peakml","nmrml","massbank","smiles","inchi","inchikey","sdf","mol","smi","pdb","mmcif","cif","fasta","fastq","bam","vcf","genbank","gff","csv","tsv","json","xlsx","hdf5","h5ad","graphml","gml","isa-tab","blib","newick","onnx"},LOWER(Q87))))),1,0)</f>
        <v>0</v>
      </c>
      <c r="S87" s="17" t="s">
        <v>1739</v>
      </c>
      <c r="T87" s="17" t="s">
        <v>1740</v>
      </c>
      <c r="U87" s="17">
        <v>1</v>
      </c>
      <c r="V87" s="17" t="s">
        <v>1741</v>
      </c>
      <c r="W87" s="17">
        <f t="shared" si="6"/>
        <v>0</v>
      </c>
      <c r="X87" s="17" t="s">
        <v>1742</v>
      </c>
      <c r="Y87" s="17" t="s">
        <v>1743</v>
      </c>
      <c r="Z87" s="17" t="s">
        <v>1744</v>
      </c>
      <c r="AA87" s="17">
        <f t="shared" si="7"/>
        <v>1</v>
      </c>
      <c r="AB87" s="17" t="s">
        <v>1745</v>
      </c>
      <c r="AC87" s="17">
        <f t="shared" si="8"/>
        <v>1</v>
      </c>
      <c r="AD87" s="17" t="s">
        <v>1746</v>
      </c>
      <c r="AE87" s="17">
        <f t="shared" si="9"/>
        <v>0</v>
      </c>
      <c r="AF87" s="17" t="s">
        <v>1747</v>
      </c>
      <c r="AG87" s="17" t="str">
        <f t="shared" si="10"/>
        <v>Clinical and Health</v>
      </c>
      <c r="AH87" s="17" t="s">
        <v>1748</v>
      </c>
      <c r="AI87" s="16">
        <f t="shared" si="11"/>
        <v>3</v>
      </c>
      <c r="AJ87" s="17"/>
    </row>
    <row r="88" spans="1:38" ht="250.1" customHeight="1" x14ac:dyDescent="0.5">
      <c r="A88" s="16">
        <v>87</v>
      </c>
      <c r="B88" s="17" t="s">
        <v>101</v>
      </c>
      <c r="C88" s="17" t="s">
        <v>1749</v>
      </c>
      <c r="D88" s="17" t="s">
        <v>1750</v>
      </c>
      <c r="E88" s="17" t="s">
        <v>1751</v>
      </c>
      <c r="F88" s="17" t="s">
        <v>1752</v>
      </c>
      <c r="G88" s="17" t="s">
        <v>1753</v>
      </c>
      <c r="H88" s="17">
        <v>2019</v>
      </c>
      <c r="I88" s="17" t="s">
        <v>390</v>
      </c>
      <c r="J88" s="17" t="s">
        <v>1754</v>
      </c>
      <c r="K88" s="17" t="s">
        <v>1755</v>
      </c>
      <c r="L88" s="17">
        <v>36.1</v>
      </c>
      <c r="M88" s="17">
        <v>1787</v>
      </c>
      <c r="N88" s="17" t="s">
        <v>1756</v>
      </c>
      <c r="O88" s="17" t="s">
        <v>1757</v>
      </c>
      <c r="P88" s="17" t="s">
        <v>1758</v>
      </c>
      <c r="Q88" s="17" t="s">
        <v>1759</v>
      </c>
      <c r="R88" s="17" cm="1">
        <f t="array" ref="R88">IF(AND(OR(ISNUMBER(SEARCH({"mzml","mzxml","mztab","mztab-m","mgf","mzdata","peakml","traml","mzidentml","pepxml","protxml","imzml","nmrml","fid","cnx","smiles","inchi","inchikey","sdf","mol","mol2","xyz","smi","pdb","mmcif","cif","fasta","fastq","gtf","sam","bam","vcf","csv","tsv","json","hdf5","h5ad","msp","ms","isa-tab","biom"},LOWER(P88)))),OR(ISNUMBER(SEARCH({"mzml","mzxml","mztab","mztab-m","mgf","msp","pepxml","protxml","mzidentml","idxml","featurexml","consensusxml","qcml","mzquantml","peakml","nmrml","massbank","smiles","inchi","inchikey","sdf","mol","smi","pdb","mmcif","cif","fasta","fastq","bam","vcf","genbank","gff","csv","tsv","json","xlsx","hdf5","h5ad","graphml","gml","isa-tab","blib","newick","onnx"},LOWER(Q88))))),1,0)</f>
        <v>1</v>
      </c>
      <c r="S88" s="17" t="s">
        <v>1760</v>
      </c>
      <c r="T88" s="17" t="s">
        <v>1761</v>
      </c>
      <c r="U88" s="17">
        <v>1</v>
      </c>
      <c r="V88" s="17" t="s">
        <v>1762</v>
      </c>
      <c r="W88" s="17">
        <f t="shared" si="6"/>
        <v>1</v>
      </c>
      <c r="X88" s="17" t="s">
        <v>1763</v>
      </c>
      <c r="Y88" s="17" t="s">
        <v>1764</v>
      </c>
      <c r="Z88" s="17" t="s">
        <v>1765</v>
      </c>
      <c r="AA88" s="17">
        <f t="shared" si="7"/>
        <v>1</v>
      </c>
      <c r="AB88" s="17" t="s">
        <v>1766</v>
      </c>
      <c r="AC88" s="17">
        <f t="shared" si="8"/>
        <v>1</v>
      </c>
      <c r="AD88" s="17" t="s">
        <v>1767</v>
      </c>
      <c r="AE88" s="17">
        <f t="shared" si="9"/>
        <v>0</v>
      </c>
      <c r="AF88" s="17" t="s">
        <v>1768</v>
      </c>
      <c r="AG88" s="17" t="str">
        <f t="shared" si="10"/>
        <v>Clinical and Health</v>
      </c>
      <c r="AH88" s="17" t="s">
        <v>1769</v>
      </c>
      <c r="AI88" s="16">
        <f t="shared" si="11"/>
        <v>5</v>
      </c>
      <c r="AJ88" s="17"/>
    </row>
    <row r="89" spans="1:38" ht="250.1" customHeight="1" x14ac:dyDescent="0.5">
      <c r="A89" s="16">
        <v>88</v>
      </c>
      <c r="B89" s="17" t="s">
        <v>101</v>
      </c>
      <c r="C89" s="17" t="s">
        <v>1770</v>
      </c>
      <c r="D89" s="17" t="s">
        <v>1771</v>
      </c>
      <c r="E89" s="17" t="s">
        <v>1772</v>
      </c>
      <c r="F89" s="17" t="s">
        <v>1773</v>
      </c>
      <c r="G89" s="17" t="s">
        <v>1774</v>
      </c>
      <c r="H89" s="17">
        <v>2018</v>
      </c>
      <c r="I89" s="17" t="s">
        <v>148</v>
      </c>
      <c r="J89" s="17" t="s">
        <v>1775</v>
      </c>
      <c r="K89" s="17" t="s">
        <v>1776</v>
      </c>
      <c r="L89" s="17">
        <v>3.1</v>
      </c>
      <c r="M89" s="17">
        <v>83</v>
      </c>
      <c r="N89" s="17" t="s">
        <v>1777</v>
      </c>
      <c r="O89" s="17" t="s">
        <v>1778</v>
      </c>
      <c r="P89" s="17" t="s">
        <v>1779</v>
      </c>
      <c r="Q89" s="17" t="s">
        <v>1780</v>
      </c>
      <c r="R89" s="17" cm="1">
        <f t="array" ref="R89">IF(AND(OR(ISNUMBER(SEARCH({"mzml","mzxml","mztab","mztab-m","mgf","mzdata","peakml","traml","mzidentml","pepxml","protxml","imzml","nmrml","fid","cnx","smiles","inchi","inchikey","sdf","mol","mol2","xyz","smi","pdb","mmcif","cif","fasta","fastq","gtf","sam","bam","vcf","csv","tsv","json","hdf5","h5ad","msp","ms","isa-tab","biom"},LOWER(P89)))),OR(ISNUMBER(SEARCH({"mzml","mzxml","mztab","mztab-m","mgf","msp","pepxml","protxml","mzidentml","idxml","featurexml","consensusxml","qcml","mzquantml","peakml","nmrml","massbank","smiles","inchi","inchikey","sdf","mol","smi","pdb","mmcif","cif","fasta","fastq","bam","vcf","genbank","gff","csv","tsv","json","xlsx","hdf5","h5ad","graphml","gml","isa-tab","blib","newick","onnx"},LOWER(Q89))))),1,0)</f>
        <v>0</v>
      </c>
      <c r="S89" s="17" t="s">
        <v>1781</v>
      </c>
      <c r="T89" s="17" t="s">
        <v>1782</v>
      </c>
      <c r="U89" s="17">
        <v>1</v>
      </c>
      <c r="V89" s="17" t="s">
        <v>1783</v>
      </c>
      <c r="W89" s="17">
        <f t="shared" si="6"/>
        <v>0</v>
      </c>
      <c r="X89" s="17" t="s">
        <v>1784</v>
      </c>
      <c r="Y89" s="17" t="s">
        <v>1785</v>
      </c>
      <c r="Z89" s="17" t="s">
        <v>1786</v>
      </c>
      <c r="AA89" s="17">
        <f t="shared" si="7"/>
        <v>1</v>
      </c>
      <c r="AB89" s="17" t="s">
        <v>1787</v>
      </c>
      <c r="AC89" s="17">
        <f t="shared" si="8"/>
        <v>0</v>
      </c>
      <c r="AD89" s="17" t="s">
        <v>1788</v>
      </c>
      <c r="AE89" s="17">
        <f t="shared" si="9"/>
        <v>0</v>
      </c>
      <c r="AF89" s="17" t="s">
        <v>1789</v>
      </c>
      <c r="AG89" s="17" t="str">
        <f t="shared" si="10"/>
        <v>Methodological</v>
      </c>
      <c r="AH89" s="17" t="s">
        <v>1790</v>
      </c>
      <c r="AI89" s="16">
        <f t="shared" si="11"/>
        <v>2</v>
      </c>
      <c r="AJ89" s="17"/>
    </row>
    <row r="90" spans="1:38" ht="250.1" customHeight="1" x14ac:dyDescent="0.5">
      <c r="A90" s="16">
        <v>89</v>
      </c>
      <c r="B90" s="17" t="s">
        <v>101</v>
      </c>
      <c r="C90" s="17" t="s">
        <v>1791</v>
      </c>
      <c r="D90" s="17" t="s">
        <v>1792</v>
      </c>
      <c r="E90" s="17" t="s">
        <v>1793</v>
      </c>
      <c r="F90" s="17" t="s">
        <v>1794</v>
      </c>
      <c r="G90" s="17" t="s">
        <v>1795</v>
      </c>
      <c r="H90" s="17">
        <v>2012</v>
      </c>
      <c r="I90" s="17" t="s">
        <v>148</v>
      </c>
      <c r="J90" s="17" t="s">
        <v>1796</v>
      </c>
      <c r="K90" s="17" t="s">
        <v>108</v>
      </c>
      <c r="L90" s="17">
        <v>2.9</v>
      </c>
      <c r="M90" s="17">
        <v>104</v>
      </c>
      <c r="N90" s="17" t="s">
        <v>1797</v>
      </c>
      <c r="O90" s="17" t="s">
        <v>1798</v>
      </c>
      <c r="P90" s="17" t="s">
        <v>1799</v>
      </c>
      <c r="Q90" s="17" t="s">
        <v>1800</v>
      </c>
      <c r="R90" s="17" cm="1">
        <f t="array" ref="R90">IF(AND(OR(ISNUMBER(SEARCH({"mzml","mzxml","mztab","mztab-m","mgf","mzdata","peakml","traml","mzidentml","pepxml","protxml","imzml","nmrml","fid","cnx","smiles","inchi","inchikey","sdf","mol","mol2","xyz","smi","pdb","mmcif","cif","fasta","fastq","gtf","sam","bam","vcf","csv","tsv","json","hdf5","h5ad","msp","ms","isa-tab","biom"},LOWER(P90)))),OR(ISNUMBER(SEARCH({"mzml","mzxml","mztab","mztab-m","mgf","msp","pepxml","protxml","mzidentml","idxml","featurexml","consensusxml","qcml","mzquantml","peakml","nmrml","massbank","smiles","inchi","inchikey","sdf","mol","smi","pdb","mmcif","cif","fasta","fastq","bam","vcf","genbank","gff","csv","tsv","json","xlsx","hdf5","h5ad","graphml","gml","isa-tab","blib","newick","onnx"},LOWER(Q90))))),1,0)</f>
        <v>0</v>
      </c>
      <c r="S90" s="17" t="s">
        <v>1801</v>
      </c>
      <c r="T90" s="17" t="s">
        <v>1802</v>
      </c>
      <c r="U90" s="17">
        <v>1</v>
      </c>
      <c r="V90" s="17" t="s">
        <v>1803</v>
      </c>
      <c r="W90" s="17">
        <f t="shared" si="6"/>
        <v>0</v>
      </c>
      <c r="X90" s="17" t="s">
        <v>1804</v>
      </c>
      <c r="Y90" s="17" t="s">
        <v>1805</v>
      </c>
      <c r="Z90" s="17" t="s">
        <v>1806</v>
      </c>
      <c r="AA90" s="17">
        <f t="shared" si="7"/>
        <v>1</v>
      </c>
      <c r="AB90" s="17" t="s">
        <v>160</v>
      </c>
      <c r="AC90" s="17">
        <f t="shared" si="8"/>
        <v>0</v>
      </c>
      <c r="AD90" s="17" t="s">
        <v>1807</v>
      </c>
      <c r="AE90" s="17">
        <f t="shared" si="9"/>
        <v>0</v>
      </c>
      <c r="AF90" s="17" t="s">
        <v>1808</v>
      </c>
      <c r="AG90" s="17" t="str">
        <f t="shared" si="10"/>
        <v>Methodological</v>
      </c>
      <c r="AH90" s="17" t="s">
        <v>1809</v>
      </c>
      <c r="AI90" s="16">
        <f t="shared" si="11"/>
        <v>2</v>
      </c>
      <c r="AJ90" s="17"/>
    </row>
    <row r="91" spans="1:38" ht="250.1" customHeight="1" x14ac:dyDescent="0.5">
      <c r="A91" s="16">
        <v>90</v>
      </c>
      <c r="B91" s="17" t="s">
        <v>101</v>
      </c>
      <c r="C91" s="17" t="s">
        <v>1810</v>
      </c>
      <c r="D91" s="17" t="s">
        <v>1811</v>
      </c>
      <c r="E91" s="17" t="s">
        <v>1812</v>
      </c>
      <c r="F91" s="17" t="s">
        <v>1813</v>
      </c>
      <c r="G91" s="17" t="s">
        <v>1814</v>
      </c>
      <c r="H91" s="17">
        <v>2021</v>
      </c>
      <c r="I91" s="17" t="s">
        <v>534</v>
      </c>
      <c r="J91" s="17" t="s">
        <v>1815</v>
      </c>
      <c r="K91" s="17" t="s">
        <v>1186</v>
      </c>
      <c r="L91" s="17">
        <v>3.8</v>
      </c>
      <c r="M91" s="17">
        <v>231</v>
      </c>
      <c r="N91" s="17" t="s">
        <v>1816</v>
      </c>
      <c r="O91" s="17" t="s">
        <v>1817</v>
      </c>
      <c r="P91" s="17" t="s">
        <v>1818</v>
      </c>
      <c r="Q91" s="17" t="s">
        <v>1819</v>
      </c>
      <c r="R91" s="17" cm="1">
        <f t="array" ref="R91">IF(AND(OR(ISNUMBER(SEARCH({"mzml","mzxml","mztab","mztab-m","mgf","mzdata","peakml","traml","mzidentml","pepxml","protxml","imzml","nmrml","fid","cnx","smiles","inchi","inchikey","sdf","mol","mol2","xyz","smi","pdb","mmcif","cif","fasta","fastq","gtf","sam","bam","vcf","csv","tsv","json","hdf5","h5ad","msp","ms","isa-tab","biom"},LOWER(P91)))),OR(ISNUMBER(SEARCH({"mzml","mzxml","mztab","mztab-m","mgf","msp","pepxml","protxml","mzidentml","idxml","featurexml","consensusxml","qcml","mzquantml","peakml","nmrml","massbank","smiles","inchi","inchikey","sdf","mol","smi","pdb","mmcif","cif","fasta","fastq","bam","vcf","genbank","gff","csv","tsv","json","xlsx","hdf5","h5ad","graphml","gml","isa-tab","blib","newick","onnx"},LOWER(Q91))))),1,0)</f>
        <v>0</v>
      </c>
      <c r="S91" s="17" t="s">
        <v>1820</v>
      </c>
      <c r="T91" s="17" t="s">
        <v>1821</v>
      </c>
      <c r="U91" s="17">
        <v>0</v>
      </c>
      <c r="V91" s="17" t="s">
        <v>1822</v>
      </c>
      <c r="W91" s="17">
        <f t="shared" si="6"/>
        <v>1</v>
      </c>
      <c r="X91" s="17" t="s">
        <v>1823</v>
      </c>
      <c r="Y91" s="17" t="s">
        <v>1824</v>
      </c>
      <c r="Z91" s="17" t="s">
        <v>1825</v>
      </c>
      <c r="AA91" s="17">
        <f t="shared" si="7"/>
        <v>1</v>
      </c>
      <c r="AB91" s="17" t="s">
        <v>1826</v>
      </c>
      <c r="AC91" s="17">
        <f t="shared" si="8"/>
        <v>1</v>
      </c>
      <c r="AD91" s="17" t="s">
        <v>1827</v>
      </c>
      <c r="AE91" s="17">
        <f t="shared" si="9"/>
        <v>1</v>
      </c>
      <c r="AF91" s="17" t="s">
        <v>1828</v>
      </c>
      <c r="AG91" s="17" t="str">
        <f t="shared" si="10"/>
        <v>Clinical and Health</v>
      </c>
      <c r="AH91" s="17" t="s">
        <v>1829</v>
      </c>
      <c r="AI91" s="16">
        <f t="shared" si="11"/>
        <v>4</v>
      </c>
      <c r="AJ91" s="17"/>
      <c r="AK91" s="22"/>
      <c r="AL91" s="22"/>
    </row>
    <row r="92" spans="1:38" ht="250.1" customHeight="1" x14ac:dyDescent="0.5">
      <c r="A92" s="16">
        <v>91</v>
      </c>
      <c r="B92" s="17" t="s">
        <v>35</v>
      </c>
      <c r="C92" s="17" t="s">
        <v>1830</v>
      </c>
      <c r="D92" s="17" t="s">
        <v>1831</v>
      </c>
      <c r="E92" s="17" t="s">
        <v>1832</v>
      </c>
      <c r="F92" s="17" t="s">
        <v>1833</v>
      </c>
      <c r="G92" s="17" t="s">
        <v>1834</v>
      </c>
      <c r="H92" s="17">
        <v>2024</v>
      </c>
      <c r="I92" s="17" t="s">
        <v>148</v>
      </c>
      <c r="J92" s="17" t="s">
        <v>1835</v>
      </c>
      <c r="K92" s="17" t="s">
        <v>370</v>
      </c>
      <c r="L92" s="17">
        <v>3.8</v>
      </c>
      <c r="M92" s="17">
        <v>4</v>
      </c>
      <c r="N92" s="17" t="s">
        <v>1836</v>
      </c>
      <c r="O92" s="17" t="s">
        <v>1837</v>
      </c>
      <c r="P92" s="17" t="s">
        <v>1838</v>
      </c>
      <c r="Q92" s="17" t="s">
        <v>1839</v>
      </c>
      <c r="R92" s="17" cm="1">
        <f t="array" ref="R92">IF(AND(OR(ISNUMBER(SEARCH({"mzml","mzxml","mztab","mztab-m","mgf","mzdata","peakml","traml","mzidentml","pepxml","protxml","imzml","nmrml","fid","cnx","smiles","inchi","inchikey","sdf","mol","mol2","xyz","smi","pdb","mmcif","cif","fasta","fastq","gtf","sam","bam","vcf","csv","tsv","json","hdf5","h5ad","msp","ms","isa-tab","biom"},LOWER(P92)))),OR(ISNUMBER(SEARCH({"mzml","mzxml","mztab","mztab-m","mgf","msp","pepxml","protxml","mzidentml","idxml","featurexml","consensusxml","qcml","mzquantml","peakml","nmrml","massbank","smiles","inchi","inchikey","sdf","mol","smi","pdb","mmcif","cif","fasta","fastq","bam","vcf","genbank","gff","csv","tsv","json","xlsx","hdf5","h5ad","graphml","gml","isa-tab","blib","newick","onnx"},LOWER(Q92))))),1,0)</f>
        <v>0</v>
      </c>
      <c r="S92" s="17" t="s">
        <v>1840</v>
      </c>
      <c r="T92" s="17" t="s">
        <v>1841</v>
      </c>
      <c r="U92" s="17">
        <v>1</v>
      </c>
      <c r="V92" s="17" t="s">
        <v>1842</v>
      </c>
      <c r="W92" s="17">
        <f t="shared" si="6"/>
        <v>1</v>
      </c>
      <c r="X92" s="17" t="s">
        <v>1843</v>
      </c>
      <c r="Y92" s="17" t="s">
        <v>1844</v>
      </c>
      <c r="Z92" s="17" t="s">
        <v>1845</v>
      </c>
      <c r="AA92" s="17">
        <f t="shared" si="7"/>
        <v>1</v>
      </c>
      <c r="AB92" s="17" t="s">
        <v>1846</v>
      </c>
      <c r="AC92" s="17">
        <f t="shared" si="8"/>
        <v>1</v>
      </c>
      <c r="AD92" s="17" t="s">
        <v>1847</v>
      </c>
      <c r="AE92" s="17">
        <f t="shared" si="9"/>
        <v>0</v>
      </c>
      <c r="AF92" s="17" t="s">
        <v>1848</v>
      </c>
      <c r="AG92" s="17" t="str">
        <f t="shared" si="10"/>
        <v>Methodological</v>
      </c>
      <c r="AH92" s="17" t="s">
        <v>1849</v>
      </c>
      <c r="AI92" s="16">
        <f t="shared" si="11"/>
        <v>4</v>
      </c>
      <c r="AJ92" s="17"/>
    </row>
    <row r="93" spans="1:38" ht="250.1" customHeight="1" x14ac:dyDescent="0.5">
      <c r="A93" s="16">
        <v>92</v>
      </c>
      <c r="B93" s="17" t="s">
        <v>101</v>
      </c>
      <c r="C93" s="17" t="s">
        <v>1850</v>
      </c>
      <c r="D93" s="17" t="s">
        <v>1851</v>
      </c>
      <c r="E93" s="17" t="s">
        <v>1852</v>
      </c>
      <c r="F93" s="17" t="s">
        <v>1853</v>
      </c>
      <c r="G93" s="17" t="s">
        <v>1854</v>
      </c>
      <c r="H93" s="17">
        <v>2021</v>
      </c>
      <c r="I93" s="17" t="s">
        <v>148</v>
      </c>
      <c r="J93" s="17" t="s">
        <v>1855</v>
      </c>
      <c r="K93" s="17" t="s">
        <v>64</v>
      </c>
      <c r="L93" s="17">
        <v>5.3</v>
      </c>
      <c r="M93" s="17">
        <v>85</v>
      </c>
      <c r="N93" s="17" t="s">
        <v>1856</v>
      </c>
      <c r="O93" s="17" t="s">
        <v>1857</v>
      </c>
      <c r="P93" s="17" t="s">
        <v>1858</v>
      </c>
      <c r="Q93" s="17" t="s">
        <v>1859</v>
      </c>
      <c r="R93" s="17" cm="1">
        <f t="array" ref="R93">IF(AND(OR(ISNUMBER(SEARCH({"mzml","mzxml","mztab","mztab-m","mgf","mzdata","peakml","traml","mzidentml","pepxml","protxml","imzml","nmrml","fid","cnx","smiles","inchi","inchikey","sdf","mol","mol2","xyz","smi","pdb","mmcif","cif","fasta","fastq","gtf","sam","bam","vcf","csv","tsv","json","hdf5","h5ad","msp","ms","isa-tab","biom"},LOWER(P93)))),OR(ISNUMBER(SEARCH({"mzml","mzxml","mztab","mztab-m","mgf","msp","pepxml","protxml","mzidentml","idxml","featurexml","consensusxml","qcml","mzquantml","peakml","nmrml","massbank","smiles","inchi","inchikey","sdf","mol","smi","pdb","mmcif","cif","fasta","fastq","bam","vcf","genbank","gff","csv","tsv","json","xlsx","hdf5","h5ad","graphml","gml","isa-tab","blib","newick","onnx"},LOWER(Q93))))),1,0)</f>
        <v>1</v>
      </c>
      <c r="S93" s="17" t="s">
        <v>1860</v>
      </c>
      <c r="T93" s="17" t="s">
        <v>1861</v>
      </c>
      <c r="U93" s="17">
        <v>0</v>
      </c>
      <c r="V93" s="17" t="s">
        <v>1862</v>
      </c>
      <c r="W93" s="17">
        <f t="shared" si="6"/>
        <v>1</v>
      </c>
      <c r="X93" s="17" t="s">
        <v>1863</v>
      </c>
      <c r="Y93" s="17" t="s">
        <v>1864</v>
      </c>
      <c r="Z93" s="17" t="s">
        <v>1865</v>
      </c>
      <c r="AA93" s="17">
        <f t="shared" si="7"/>
        <v>1</v>
      </c>
      <c r="AB93" s="17" t="s">
        <v>160</v>
      </c>
      <c r="AC93" s="17">
        <f t="shared" si="8"/>
        <v>0</v>
      </c>
      <c r="AD93" s="17" t="s">
        <v>1866</v>
      </c>
      <c r="AE93" s="17">
        <f t="shared" si="9"/>
        <v>0</v>
      </c>
      <c r="AF93" s="17" t="s">
        <v>1867</v>
      </c>
      <c r="AG93" s="17" t="str">
        <f t="shared" si="10"/>
        <v>Drug Discovery</v>
      </c>
      <c r="AH93" s="17" t="s">
        <v>1868</v>
      </c>
      <c r="AI93" s="16">
        <f t="shared" si="11"/>
        <v>3</v>
      </c>
      <c r="AJ93" s="17"/>
    </row>
    <row r="94" spans="1:38" ht="250.1" customHeight="1" x14ac:dyDescent="0.5">
      <c r="A94" s="16">
        <v>93</v>
      </c>
      <c r="B94" s="17" t="s">
        <v>35</v>
      </c>
      <c r="C94" s="17" t="s">
        <v>1869</v>
      </c>
      <c r="D94" s="17" t="s">
        <v>1870</v>
      </c>
      <c r="E94" s="17" t="s">
        <v>1871</v>
      </c>
      <c r="F94" s="17" t="s">
        <v>1872</v>
      </c>
      <c r="G94" s="17" t="s">
        <v>1873</v>
      </c>
      <c r="H94" s="17">
        <v>2019</v>
      </c>
      <c r="I94" s="17" t="s">
        <v>148</v>
      </c>
      <c r="J94" s="17" t="s">
        <v>1874</v>
      </c>
      <c r="K94" s="17" t="s">
        <v>86</v>
      </c>
      <c r="L94" s="17">
        <v>7.1</v>
      </c>
      <c r="M94" s="17">
        <v>61</v>
      </c>
      <c r="N94" s="17" t="s">
        <v>1875</v>
      </c>
      <c r="O94" s="17" t="s">
        <v>1876</v>
      </c>
      <c r="P94" s="17" t="s">
        <v>1877</v>
      </c>
      <c r="Q94" s="17" t="s">
        <v>1878</v>
      </c>
      <c r="R94" s="17" cm="1">
        <f t="array" ref="R94">IF(AND(OR(ISNUMBER(SEARCH({"mzml","mzxml","mztab","mztab-m","mgf","mzdata","peakml","traml","mzidentml","pepxml","protxml","imzml","nmrml","fid","cnx","smiles","inchi","inchikey","sdf","mol","mol2","xyz","smi","pdb","mmcif","cif","fasta","fastq","gtf","sam","bam","vcf","csv","tsv","json","hdf5","h5ad","msp","ms","isa-tab","biom"},LOWER(P94)))),OR(ISNUMBER(SEARCH({"mzml","mzxml","mztab","mztab-m","mgf","msp","pepxml","protxml","mzidentml","idxml","featurexml","consensusxml","qcml","mzquantml","peakml","nmrml","massbank","smiles","inchi","inchikey","sdf","mol","smi","pdb","mmcif","cif","fasta","fastq","bam","vcf","genbank","gff","csv","tsv","json","xlsx","hdf5","h5ad","graphml","gml","isa-tab","blib","newick","onnx"},LOWER(Q94))))),1,0)</f>
        <v>1</v>
      </c>
      <c r="S94" s="17" t="s">
        <v>1879</v>
      </c>
      <c r="T94" s="17" t="s">
        <v>1880</v>
      </c>
      <c r="U94" s="17">
        <v>0</v>
      </c>
      <c r="V94" s="17" t="s">
        <v>1881</v>
      </c>
      <c r="W94" s="17">
        <f t="shared" si="6"/>
        <v>1</v>
      </c>
      <c r="X94" s="17" t="s">
        <v>1882</v>
      </c>
      <c r="Y94" s="17" t="s">
        <v>1883</v>
      </c>
      <c r="Z94" s="17" t="s">
        <v>1884</v>
      </c>
      <c r="AA94" s="17">
        <f t="shared" si="7"/>
        <v>1</v>
      </c>
      <c r="AB94" s="17" t="s">
        <v>1885</v>
      </c>
      <c r="AC94" s="17">
        <f t="shared" si="8"/>
        <v>1</v>
      </c>
      <c r="AD94" s="17" t="s">
        <v>1886</v>
      </c>
      <c r="AE94" s="17">
        <f t="shared" si="9"/>
        <v>1</v>
      </c>
      <c r="AF94" s="17" t="s">
        <v>1887</v>
      </c>
      <c r="AG94" s="17" t="str">
        <f t="shared" si="10"/>
        <v>Drug Discovery</v>
      </c>
      <c r="AH94" s="17" t="s">
        <v>1888</v>
      </c>
      <c r="AI94" s="16">
        <f t="shared" si="11"/>
        <v>5</v>
      </c>
      <c r="AJ94" s="17"/>
    </row>
    <row r="95" spans="1:38" ht="250.1" customHeight="1" x14ac:dyDescent="0.5">
      <c r="A95" s="16">
        <v>94</v>
      </c>
      <c r="B95" s="17" t="s">
        <v>35</v>
      </c>
      <c r="C95" s="17" t="s">
        <v>1889</v>
      </c>
      <c r="D95" s="17" t="s">
        <v>1890</v>
      </c>
      <c r="E95" s="17" t="s">
        <v>1891</v>
      </c>
      <c r="F95" s="17" t="s">
        <v>1892</v>
      </c>
      <c r="G95" s="17" t="s">
        <v>1893</v>
      </c>
      <c r="H95" s="17">
        <v>2017</v>
      </c>
      <c r="I95" s="17" t="s">
        <v>353</v>
      </c>
      <c r="J95" s="17" t="s">
        <v>1894</v>
      </c>
      <c r="K95" s="17" t="s">
        <v>1895</v>
      </c>
      <c r="L95" s="17" t="s">
        <v>252</v>
      </c>
      <c r="M95" s="17">
        <v>476</v>
      </c>
      <c r="N95" s="17" t="s">
        <v>1896</v>
      </c>
      <c r="O95" s="17" t="s">
        <v>1897</v>
      </c>
      <c r="P95" s="17" t="s">
        <v>1898</v>
      </c>
      <c r="Q95" s="17" t="s">
        <v>1899</v>
      </c>
      <c r="R95" s="17" cm="1">
        <f t="array" ref="R95">IF(AND(OR(ISNUMBER(SEARCH({"mzml","mzxml","mztab","mztab-m","mgf","mzdata","peakml","traml","mzidentml","pepxml","protxml","imzml","nmrml","fid","cnx","smiles","inchi","inchikey","sdf","mol","mol2","xyz","smi","pdb","mmcif","cif","fasta","fastq","gtf","sam","bam","vcf","csv","tsv","json","hdf5","h5ad","msp","ms","isa-tab","biom"},LOWER(P95)))),OR(ISNUMBER(SEARCH({"mzml","mzxml","mztab","mztab-m","mgf","msp","pepxml","protxml","mzidentml","idxml","featurexml","consensusxml","qcml","mzquantml","peakml","nmrml","massbank","smiles","inchi","inchikey","sdf","mol","smi","pdb","mmcif","cif","fasta","fastq","bam","vcf","genbank","gff","csv","tsv","json","xlsx","hdf5","h5ad","graphml","gml","isa-tab","blib","newick","onnx"},LOWER(Q95))))),1,0)</f>
        <v>0</v>
      </c>
      <c r="S95" s="17" t="s">
        <v>1900</v>
      </c>
      <c r="T95" s="17" t="s">
        <v>1901</v>
      </c>
      <c r="U95" s="17">
        <v>1</v>
      </c>
      <c r="V95" s="17" t="s">
        <v>1902</v>
      </c>
      <c r="W95" s="17">
        <f t="shared" si="6"/>
        <v>0</v>
      </c>
      <c r="X95" s="17" t="s">
        <v>1903</v>
      </c>
      <c r="Y95" s="17" t="s">
        <v>1904</v>
      </c>
      <c r="Z95" s="17" t="s">
        <v>160</v>
      </c>
      <c r="AA95" s="17">
        <f t="shared" si="7"/>
        <v>0</v>
      </c>
      <c r="AB95" s="17" t="s">
        <v>160</v>
      </c>
      <c r="AC95" s="17">
        <f t="shared" si="8"/>
        <v>0</v>
      </c>
      <c r="AD95" s="17" t="s">
        <v>1905</v>
      </c>
      <c r="AE95" s="17">
        <f t="shared" si="9"/>
        <v>0</v>
      </c>
      <c r="AF95" s="17" t="s">
        <v>1906</v>
      </c>
      <c r="AG95" s="17" t="str">
        <f t="shared" si="10"/>
        <v>Methodological</v>
      </c>
      <c r="AH95" s="17" t="s">
        <v>1907</v>
      </c>
      <c r="AI95" s="16">
        <f t="shared" si="11"/>
        <v>1</v>
      </c>
      <c r="AJ95" s="17"/>
    </row>
    <row r="96" spans="1:38" ht="250.1" customHeight="1" x14ac:dyDescent="0.5">
      <c r="A96" s="16">
        <v>95</v>
      </c>
      <c r="B96" s="17" t="s">
        <v>101</v>
      </c>
      <c r="C96" s="17" t="s">
        <v>1908</v>
      </c>
      <c r="D96" s="17" t="s">
        <v>1909</v>
      </c>
      <c r="E96" s="17" t="s">
        <v>1910</v>
      </c>
      <c r="F96" s="17" t="s">
        <v>1911</v>
      </c>
      <c r="G96" s="17" t="s">
        <v>1912</v>
      </c>
      <c r="H96" s="17">
        <v>2022</v>
      </c>
      <c r="I96" s="17" t="s">
        <v>148</v>
      </c>
      <c r="J96" s="17" t="s">
        <v>1913</v>
      </c>
      <c r="K96" s="17" t="s">
        <v>432</v>
      </c>
      <c r="L96" s="17">
        <v>14.7</v>
      </c>
      <c r="M96" s="17">
        <v>31</v>
      </c>
      <c r="N96" s="17" t="s">
        <v>1914</v>
      </c>
      <c r="O96" s="17" t="s">
        <v>1915</v>
      </c>
      <c r="P96" s="17" t="s">
        <v>1916</v>
      </c>
      <c r="Q96" s="17" t="s">
        <v>1917</v>
      </c>
      <c r="R96" s="17" cm="1">
        <f t="array" ref="R96">IF(AND(OR(ISNUMBER(SEARCH({"mzml","mzxml","mztab","mztab-m","mgf","mzdata","peakml","traml","mzidentml","pepxml","protxml","imzml","nmrml","fid","cnx","smiles","inchi","inchikey","sdf","mol","mol2","xyz","smi","pdb","mmcif","cif","fasta","fastq","gtf","sam","bam","vcf","csv","tsv","json","hdf5","h5ad","msp","ms","isa-tab","biom"},LOWER(P96)))),OR(ISNUMBER(SEARCH({"mzml","mzxml","mztab","mztab-m","mgf","msp","pepxml","protxml","mzidentml","idxml","featurexml","consensusxml","qcml","mzquantml","peakml","nmrml","massbank","smiles","inchi","inchikey","sdf","mol","smi","pdb","mmcif","cif","fasta","fastq","bam","vcf","genbank","gff","csv","tsv","json","xlsx","hdf5","h5ad","graphml","gml","isa-tab","blib","newick","onnx"},LOWER(Q96))))),1,0)</f>
        <v>1</v>
      </c>
      <c r="S96" s="17" t="s">
        <v>1918</v>
      </c>
      <c r="T96" s="17" t="s">
        <v>160</v>
      </c>
      <c r="U96" s="17">
        <v>1</v>
      </c>
      <c r="V96" s="17" t="s">
        <v>1919</v>
      </c>
      <c r="W96" s="17">
        <f t="shared" si="6"/>
        <v>1</v>
      </c>
      <c r="X96" s="17" t="s">
        <v>1920</v>
      </c>
      <c r="Y96" s="17" t="s">
        <v>1921</v>
      </c>
      <c r="Z96" s="17" t="s">
        <v>1922</v>
      </c>
      <c r="AA96" s="17">
        <f t="shared" si="7"/>
        <v>1</v>
      </c>
      <c r="AB96" s="17" t="s">
        <v>1923</v>
      </c>
      <c r="AC96" s="17">
        <f t="shared" si="8"/>
        <v>1</v>
      </c>
      <c r="AD96" s="17" t="s">
        <v>1924</v>
      </c>
      <c r="AE96" s="17">
        <f t="shared" si="9"/>
        <v>1</v>
      </c>
      <c r="AF96" s="17" t="s">
        <v>1925</v>
      </c>
      <c r="AG96" s="17" t="str">
        <f t="shared" si="10"/>
        <v>Clinical and Health</v>
      </c>
      <c r="AH96" s="17" t="s">
        <v>1926</v>
      </c>
      <c r="AI96" s="16">
        <f t="shared" si="11"/>
        <v>6</v>
      </c>
      <c r="AJ96" s="17"/>
    </row>
    <row r="97" spans="1:38" ht="250.1" customHeight="1" x14ac:dyDescent="0.5">
      <c r="A97" s="16">
        <v>96</v>
      </c>
      <c r="B97" s="17" t="s">
        <v>101</v>
      </c>
      <c r="C97" s="17" t="s">
        <v>1927</v>
      </c>
      <c r="D97" s="17" t="s">
        <v>1928</v>
      </c>
      <c r="E97" s="17" t="s">
        <v>1929</v>
      </c>
      <c r="F97" s="17" t="s">
        <v>1930</v>
      </c>
      <c r="G97" s="17" t="s">
        <v>1931</v>
      </c>
      <c r="H97" s="17">
        <v>2023</v>
      </c>
      <c r="I97" s="17" t="s">
        <v>148</v>
      </c>
      <c r="J97" s="17" t="s">
        <v>1932</v>
      </c>
      <c r="K97" s="17" t="s">
        <v>1286</v>
      </c>
      <c r="L97" s="17">
        <v>6.8</v>
      </c>
      <c r="M97" s="17">
        <v>0</v>
      </c>
      <c r="N97" s="17" t="s">
        <v>1933</v>
      </c>
      <c r="O97" s="17" t="s">
        <v>1934</v>
      </c>
      <c r="P97" s="17" t="s">
        <v>1935</v>
      </c>
      <c r="Q97" s="17" t="s">
        <v>1936</v>
      </c>
      <c r="R97" s="17" cm="1">
        <f t="array" ref="R97">IF(AND(OR(ISNUMBER(SEARCH({"mzml","mzxml","mztab","mztab-m","mgf","mzdata","peakml","traml","mzidentml","pepxml","protxml","imzml","nmrml","fid","cnx","smiles","inchi","inchikey","sdf","mol","mol2","xyz","smi","pdb","mmcif","cif","fasta","fastq","gtf","sam","bam","vcf","csv","tsv","json","hdf5","h5ad","msp","ms","isa-tab","biom"},LOWER(P97)))),OR(ISNUMBER(SEARCH({"mzml","mzxml","mztab","mztab-m","mgf","msp","pepxml","protxml","mzidentml","idxml","featurexml","consensusxml","qcml","mzquantml","peakml","nmrml","massbank","smiles","inchi","inchikey","sdf","mol","smi","pdb","mmcif","cif","fasta","fastq","bam","vcf","genbank","gff","csv","tsv","json","xlsx","hdf5","h5ad","graphml","gml","isa-tab","blib","newick","onnx"},LOWER(Q97))))),1,0)</f>
        <v>1</v>
      </c>
      <c r="S97" s="17" t="s">
        <v>1937</v>
      </c>
      <c r="T97" s="17" t="s">
        <v>1938</v>
      </c>
      <c r="U97" s="17">
        <v>0</v>
      </c>
      <c r="V97" s="17" t="s">
        <v>1939</v>
      </c>
      <c r="W97" s="17">
        <f t="shared" si="6"/>
        <v>0</v>
      </c>
      <c r="X97" s="17" t="s">
        <v>1940</v>
      </c>
      <c r="Y97" s="17" t="s">
        <v>1941</v>
      </c>
      <c r="Z97" s="17" t="s">
        <v>160</v>
      </c>
      <c r="AA97" s="17">
        <f t="shared" si="7"/>
        <v>0</v>
      </c>
      <c r="AB97" s="17" t="s">
        <v>1942</v>
      </c>
      <c r="AC97" s="17">
        <f t="shared" si="8"/>
        <v>1</v>
      </c>
      <c r="AD97" s="17" t="s">
        <v>1943</v>
      </c>
      <c r="AE97" s="17">
        <f t="shared" si="9"/>
        <v>1</v>
      </c>
      <c r="AF97" s="17" t="s">
        <v>1944</v>
      </c>
      <c r="AG97" s="17" t="str">
        <f t="shared" si="10"/>
        <v>Methodological</v>
      </c>
      <c r="AH97" s="17" t="s">
        <v>1945</v>
      </c>
      <c r="AI97" s="16">
        <f t="shared" si="11"/>
        <v>3</v>
      </c>
      <c r="AJ97" s="17"/>
    </row>
    <row r="98" spans="1:38" s="22" customFormat="1" ht="250.1" customHeight="1" x14ac:dyDescent="0.5">
      <c r="A98" s="16">
        <v>97</v>
      </c>
      <c r="B98" s="17" t="s">
        <v>101</v>
      </c>
      <c r="C98" s="17" t="s">
        <v>1946</v>
      </c>
      <c r="D98" s="17" t="s">
        <v>1947</v>
      </c>
      <c r="E98" s="17" t="s">
        <v>1948</v>
      </c>
      <c r="F98" s="17" t="s">
        <v>1949</v>
      </c>
      <c r="G98" s="17" t="s">
        <v>1950</v>
      </c>
      <c r="H98" s="17">
        <v>2015</v>
      </c>
      <c r="I98" s="17" t="s">
        <v>148</v>
      </c>
      <c r="J98" s="17" t="s">
        <v>1951</v>
      </c>
      <c r="K98" s="17" t="s">
        <v>1952</v>
      </c>
      <c r="L98" s="17">
        <v>3.6</v>
      </c>
      <c r="M98" s="17">
        <v>356</v>
      </c>
      <c r="N98" s="17" t="s">
        <v>1953</v>
      </c>
      <c r="O98" s="17" t="s">
        <v>1954</v>
      </c>
      <c r="P98" s="17" t="s">
        <v>1955</v>
      </c>
      <c r="Q98" s="17" t="s">
        <v>1956</v>
      </c>
      <c r="R98" s="17" cm="1">
        <f t="array" ref="R98">IF(AND(OR(ISNUMBER(SEARCH({"mzml","mzxml","mztab","mztab-m","mgf","mzdata","peakml","traml","mzidentml","pepxml","protxml","imzml","nmrml","fid","cnx","smiles","inchi","inchikey","sdf","mol","mol2","xyz","smi","pdb","mmcif","cif","fasta","fastq","gtf","sam","bam","vcf","csv","tsv","json","hdf5","h5ad","msp","ms","isa-tab","biom"},LOWER(P98)))),OR(ISNUMBER(SEARCH({"mzml","mzxml","mztab","mztab-m","mgf","msp","pepxml","protxml","mzidentml","idxml","featurexml","consensusxml","qcml","mzquantml","peakml","nmrml","massbank","smiles","inchi","inchikey","sdf","mol","smi","pdb","mmcif","cif","fasta","fastq","bam","vcf","genbank","gff","csv","tsv","json","xlsx","hdf5","h5ad","graphml","gml","isa-tab","blib","newick","onnx"},LOWER(Q98))))),1,0)</f>
        <v>1</v>
      </c>
      <c r="S98" s="17" t="s">
        <v>1957</v>
      </c>
      <c r="T98" s="17" t="s">
        <v>160</v>
      </c>
      <c r="U98" s="17">
        <v>0</v>
      </c>
      <c r="V98" s="17" t="s">
        <v>1958</v>
      </c>
      <c r="W98" s="17">
        <f t="shared" si="6"/>
        <v>1</v>
      </c>
      <c r="X98" s="17" t="s">
        <v>1959</v>
      </c>
      <c r="Y98" s="17" t="s">
        <v>1960</v>
      </c>
      <c r="Z98" s="17" t="s">
        <v>160</v>
      </c>
      <c r="AA98" s="17">
        <f t="shared" si="7"/>
        <v>0</v>
      </c>
      <c r="AB98" s="17" t="s">
        <v>1961</v>
      </c>
      <c r="AC98" s="17">
        <f t="shared" si="8"/>
        <v>0</v>
      </c>
      <c r="AD98" s="17" t="s">
        <v>1962</v>
      </c>
      <c r="AE98" s="17">
        <f t="shared" si="9"/>
        <v>1</v>
      </c>
      <c r="AF98" s="17" t="s">
        <v>1963</v>
      </c>
      <c r="AG98" s="17" t="str">
        <f t="shared" si="10"/>
        <v>Methodological</v>
      </c>
      <c r="AH98" s="17" t="s">
        <v>1964</v>
      </c>
      <c r="AI98" s="16">
        <f t="shared" si="11"/>
        <v>3</v>
      </c>
      <c r="AJ98" s="17"/>
      <c r="AK98" s="18"/>
      <c r="AL98" s="18"/>
    </row>
    <row r="99" spans="1:38" s="22" customFormat="1" ht="141" x14ac:dyDescent="0.5">
      <c r="A99" s="16">
        <v>98</v>
      </c>
      <c r="B99" s="17" t="s">
        <v>79</v>
      </c>
      <c r="C99" s="17" t="s">
        <v>1965</v>
      </c>
      <c r="D99" s="17" t="s">
        <v>1966</v>
      </c>
      <c r="E99" s="17" t="s">
        <v>1967</v>
      </c>
      <c r="F99" s="17" t="s">
        <v>1968</v>
      </c>
      <c r="G99" s="17" t="s">
        <v>1969</v>
      </c>
      <c r="H99" s="17">
        <v>2020</v>
      </c>
      <c r="I99" s="17" t="s">
        <v>148</v>
      </c>
      <c r="J99" s="17" t="s">
        <v>1970</v>
      </c>
      <c r="K99" s="17" t="s">
        <v>1286</v>
      </c>
      <c r="L99" s="17">
        <v>6.8</v>
      </c>
      <c r="M99" s="17">
        <v>71</v>
      </c>
      <c r="N99" s="17" t="s">
        <v>1971</v>
      </c>
      <c r="O99" s="17" t="s">
        <v>1972</v>
      </c>
      <c r="P99" s="17" t="s">
        <v>1973</v>
      </c>
      <c r="Q99" s="17" t="s">
        <v>1974</v>
      </c>
      <c r="R99" s="17" cm="1">
        <f t="array" ref="R99">IF(AND(OR(ISNUMBER(SEARCH({"mzml","mzxml","mztab","mztab-m","mgf","mzdata","peakml","traml","mzidentml","pepxml","protxml","imzml","nmrml","fid","cnx","smiles","inchi","inchikey","sdf","mol","mol2","xyz","smi","pdb","mmcif","cif","fasta","fastq","gtf","sam","bam","vcf","csv","tsv","json","hdf5","h5ad","msp","ms","isa-tab","biom"},LOWER(P99)))),OR(ISNUMBER(SEARCH({"mzml","mzxml","mztab","mztab-m","mgf","msp","pepxml","protxml","mzidentml","idxml","featurexml","consensusxml","qcml","mzquantml","peakml","nmrml","massbank","smiles","inchi","inchikey","sdf","mol","smi","pdb","mmcif","cif","fasta","fastq","bam","vcf","genbank","gff","csv","tsv","json","xlsx","hdf5","h5ad","graphml","gml","isa-tab","blib","newick","onnx"},LOWER(Q99))))),1,0)</f>
        <v>1</v>
      </c>
      <c r="S99" s="17" t="s">
        <v>1975</v>
      </c>
      <c r="T99" s="17" t="s">
        <v>1976</v>
      </c>
      <c r="U99" s="17">
        <v>1</v>
      </c>
      <c r="V99" s="17" t="s">
        <v>1977</v>
      </c>
      <c r="W99" s="17">
        <f t="shared" si="6"/>
        <v>1</v>
      </c>
      <c r="X99" s="17" t="s">
        <v>1978</v>
      </c>
      <c r="Y99" s="17" t="s">
        <v>1979</v>
      </c>
      <c r="Z99" s="17" t="s">
        <v>1980</v>
      </c>
      <c r="AA99" s="17">
        <f t="shared" si="7"/>
        <v>1</v>
      </c>
      <c r="AB99" s="17" t="s">
        <v>1981</v>
      </c>
      <c r="AC99" s="17">
        <f t="shared" si="8"/>
        <v>1</v>
      </c>
      <c r="AD99" s="17" t="s">
        <v>1241</v>
      </c>
      <c r="AE99" s="17">
        <f t="shared" si="9"/>
        <v>0</v>
      </c>
      <c r="AF99" s="17" t="s">
        <v>1982</v>
      </c>
      <c r="AG99" s="17" t="str">
        <f t="shared" si="10"/>
        <v>Drug Discovery</v>
      </c>
      <c r="AH99" s="17" t="s">
        <v>1983</v>
      </c>
      <c r="AI99" s="16">
        <f t="shared" si="11"/>
        <v>5</v>
      </c>
      <c r="AJ99" s="17"/>
      <c r="AK99" s="18"/>
      <c r="AL99" s="18"/>
    </row>
    <row r="100" spans="1:38" s="22" customFormat="1" ht="141" x14ac:dyDescent="0.5">
      <c r="A100" s="16">
        <v>99</v>
      </c>
      <c r="B100" s="17" t="s">
        <v>79</v>
      </c>
      <c r="C100" s="17" t="s">
        <v>1984</v>
      </c>
      <c r="D100" s="17" t="s">
        <v>1985</v>
      </c>
      <c r="E100" s="17" t="s">
        <v>1986</v>
      </c>
      <c r="F100" s="17" t="s">
        <v>1987</v>
      </c>
      <c r="G100" s="17" t="s">
        <v>1988</v>
      </c>
      <c r="H100" s="17">
        <v>2021</v>
      </c>
      <c r="I100" s="17" t="s">
        <v>148</v>
      </c>
      <c r="J100" s="17" t="s">
        <v>1989</v>
      </c>
      <c r="K100" s="17" t="s">
        <v>1990</v>
      </c>
      <c r="L100" s="17">
        <v>5.4</v>
      </c>
      <c r="M100" s="17">
        <v>58</v>
      </c>
      <c r="N100" s="17" t="s">
        <v>1991</v>
      </c>
      <c r="O100" s="17" t="s">
        <v>1992</v>
      </c>
      <c r="P100" s="17" t="s">
        <v>1993</v>
      </c>
      <c r="Q100" s="17" t="s">
        <v>1994</v>
      </c>
      <c r="R100" s="17" cm="1">
        <f t="array" ref="R100">IF(AND(OR(ISNUMBER(SEARCH({"mzml","mzxml","mztab","mztab-m","mgf","mzdata","peakml","traml","mzidentml","pepxml","protxml","imzml","nmrml","fid","cnx","smiles","inchi","inchikey","sdf","mol","mol2","xyz","smi","pdb","mmcif","cif","fasta","fastq","gtf","sam","bam","vcf","csv","tsv","json","hdf5","h5ad","msp","ms","isa-tab","biom"},LOWER(P100)))),OR(ISNUMBER(SEARCH({"mzml","mzxml","mztab","mztab-m","mgf","msp","pepxml","protxml","mzidentml","idxml","featurexml","consensusxml","qcml","mzquantml","peakml","nmrml","massbank","smiles","inchi","inchikey","sdf","mol","smi","pdb","mmcif","cif","fasta","fastq","bam","vcf","genbank","gff","csv","tsv","json","xlsx","hdf5","h5ad","graphml","gml","isa-tab","blib","newick","onnx"},LOWER(Q100))))),1,0)</f>
        <v>1</v>
      </c>
      <c r="S100" s="17" t="s">
        <v>1995</v>
      </c>
      <c r="T100" s="17" t="s">
        <v>1996</v>
      </c>
      <c r="U100" s="17">
        <v>0</v>
      </c>
      <c r="V100" s="17" t="s">
        <v>1997</v>
      </c>
      <c r="W100" s="17">
        <f t="shared" si="6"/>
        <v>1</v>
      </c>
      <c r="X100" s="17" t="s">
        <v>1998</v>
      </c>
      <c r="Y100" s="17" t="s">
        <v>1999</v>
      </c>
      <c r="Z100" s="17" t="s">
        <v>2000</v>
      </c>
      <c r="AA100" s="17">
        <f t="shared" si="7"/>
        <v>1</v>
      </c>
      <c r="AB100" s="17" t="s">
        <v>2001</v>
      </c>
      <c r="AC100" s="17">
        <f t="shared" si="8"/>
        <v>1</v>
      </c>
      <c r="AD100" s="17" t="s">
        <v>2002</v>
      </c>
      <c r="AE100" s="17">
        <f t="shared" si="9"/>
        <v>1</v>
      </c>
      <c r="AF100" s="17" t="s">
        <v>2003</v>
      </c>
      <c r="AG100" s="17" t="str">
        <f t="shared" si="10"/>
        <v>Drug Discovery</v>
      </c>
      <c r="AH100" s="17" t="s">
        <v>2004</v>
      </c>
      <c r="AI100" s="16">
        <f t="shared" si="11"/>
        <v>5</v>
      </c>
      <c r="AJ100" s="17"/>
      <c r="AK100" s="18"/>
      <c r="AL100" s="18"/>
    </row>
    <row r="101" spans="1:38" s="22" customFormat="1" ht="156.69999999999999" x14ac:dyDescent="0.5">
      <c r="A101" s="16">
        <v>100</v>
      </c>
      <c r="B101" s="17" t="s">
        <v>79</v>
      </c>
      <c r="C101" s="17" t="s">
        <v>2005</v>
      </c>
      <c r="D101" s="17" t="s">
        <v>2006</v>
      </c>
      <c r="E101" s="17" t="s">
        <v>2007</v>
      </c>
      <c r="F101" s="17" t="s">
        <v>2008</v>
      </c>
      <c r="G101" s="17" t="s">
        <v>2009</v>
      </c>
      <c r="H101" s="17">
        <v>2019</v>
      </c>
      <c r="I101" s="17" t="s">
        <v>148</v>
      </c>
      <c r="J101" s="17" t="s">
        <v>2010</v>
      </c>
      <c r="K101" s="17" t="s">
        <v>2011</v>
      </c>
      <c r="L101" s="17">
        <v>3.4</v>
      </c>
      <c r="M101" s="17">
        <v>13</v>
      </c>
      <c r="N101" s="17" t="s">
        <v>2012</v>
      </c>
      <c r="O101" s="17" t="s">
        <v>2013</v>
      </c>
      <c r="P101" s="17" t="s">
        <v>2014</v>
      </c>
      <c r="Q101" s="17" t="s">
        <v>2015</v>
      </c>
      <c r="R101" s="17" cm="1">
        <f t="array" ref="R101">IF(AND(OR(ISNUMBER(SEARCH({"mzml","mzxml","mztab","mztab-m","mgf","mzdata","peakml","traml","mzidentml","pepxml","protxml","imzml","nmrml","fid","cnx","smiles","inchi","inchikey","sdf","mol","mol2","xyz","smi","pdb","mmcif","cif","fasta","fastq","gtf","sam","bam","vcf","csv","tsv","json","hdf5","h5ad","msp","ms","isa-tab","biom"},LOWER(P101)))),OR(ISNUMBER(SEARCH({"mzml","mzxml","mztab","mztab-m","mgf","msp","pepxml","protxml","mzidentml","idxml","featurexml","consensusxml","qcml","mzquantml","peakml","nmrml","massbank","smiles","inchi","inchikey","sdf","mol","smi","pdb","mmcif","cif","fasta","fastq","bam","vcf","genbank","gff","csv","tsv","json","xlsx","hdf5","h5ad","graphml","gml","isa-tab","blib","newick","onnx"},LOWER(Q101))))),1,0)</f>
        <v>0</v>
      </c>
      <c r="S101" s="17" t="s">
        <v>2016</v>
      </c>
      <c r="T101" s="17" t="s">
        <v>2017</v>
      </c>
      <c r="U101" s="17">
        <v>0</v>
      </c>
      <c r="V101" s="17" t="s">
        <v>2018</v>
      </c>
      <c r="W101" s="17">
        <f t="shared" si="6"/>
        <v>1</v>
      </c>
      <c r="X101" s="17" t="s">
        <v>2019</v>
      </c>
      <c r="Y101" s="17" t="s">
        <v>2020</v>
      </c>
      <c r="Z101" s="17" t="s">
        <v>2021</v>
      </c>
      <c r="AA101" s="17">
        <f t="shared" si="7"/>
        <v>1</v>
      </c>
      <c r="AB101" s="17" t="s">
        <v>2022</v>
      </c>
      <c r="AC101" s="17">
        <f t="shared" si="8"/>
        <v>1</v>
      </c>
      <c r="AD101" s="17" t="s">
        <v>2023</v>
      </c>
      <c r="AE101" s="17">
        <f t="shared" si="9"/>
        <v>1</v>
      </c>
      <c r="AF101" s="17" t="s">
        <v>2024</v>
      </c>
      <c r="AG101" s="17" t="str">
        <f t="shared" si="10"/>
        <v>Clinical and Health</v>
      </c>
      <c r="AH101" s="17" t="s">
        <v>2025</v>
      </c>
      <c r="AI101" s="16">
        <f t="shared" si="11"/>
        <v>4</v>
      </c>
      <c r="AJ101" s="17"/>
      <c r="AK101" s="18"/>
      <c r="AL101" s="18"/>
    </row>
    <row r="102" spans="1:38" s="22" customFormat="1" ht="109.7" x14ac:dyDescent="0.5">
      <c r="A102" s="16">
        <v>101</v>
      </c>
      <c r="B102" s="17" t="s">
        <v>101</v>
      </c>
      <c r="C102" s="17" t="s">
        <v>2026</v>
      </c>
      <c r="D102" s="17" t="s">
        <v>2027</v>
      </c>
      <c r="E102" s="17" t="s">
        <v>2028</v>
      </c>
      <c r="F102" s="17" t="s">
        <v>2029</v>
      </c>
      <c r="G102" s="17" t="s">
        <v>2030</v>
      </c>
      <c r="H102" s="17">
        <v>2015</v>
      </c>
      <c r="I102" s="17" t="s">
        <v>148</v>
      </c>
      <c r="J102" s="17" t="s">
        <v>2031</v>
      </c>
      <c r="K102" s="17" t="s">
        <v>43</v>
      </c>
      <c r="L102" s="17">
        <v>4.4000000000000004</v>
      </c>
      <c r="M102" s="17">
        <v>458</v>
      </c>
      <c r="N102" s="17" t="s">
        <v>2032</v>
      </c>
      <c r="O102" s="17" t="s">
        <v>2033</v>
      </c>
      <c r="P102" s="17" t="s">
        <v>2034</v>
      </c>
      <c r="Q102" s="17" t="s">
        <v>2035</v>
      </c>
      <c r="R102" s="17" cm="1">
        <f t="array" ref="R102">IF(AND(OR(ISNUMBER(SEARCH({"mzml","mzxml","mztab","mztab-m","mgf","mzdata","peakml","traml","mzidentml","pepxml","protxml","imzml","nmrml","fid","cnx","smiles","inchi","inchikey","sdf","mol","mol2","xyz","smi","pdb","mmcif","cif","fasta","fastq","gtf","sam","bam","vcf","csv","tsv","json","hdf5","h5ad","msp","ms","isa-tab","biom"},LOWER(P102)))),OR(ISNUMBER(SEARCH({"mzml","mzxml","mztab","mztab-m","mgf","msp","pepxml","protxml","mzidentml","idxml","featurexml","consensusxml","qcml","mzquantml","peakml","nmrml","massbank","smiles","inchi","inchikey","sdf","mol","smi","pdb","mmcif","cif","fasta","fastq","bam","vcf","genbank","gff","csv","tsv","json","xlsx","hdf5","h5ad","graphml","gml","isa-tab","blib","newick","onnx"},LOWER(Q102))))),1,0)</f>
        <v>0</v>
      </c>
      <c r="S102" s="17" t="s">
        <v>2036</v>
      </c>
      <c r="T102" s="17" t="s">
        <v>2037</v>
      </c>
      <c r="U102" s="17">
        <v>0</v>
      </c>
      <c r="V102" s="17" t="s">
        <v>2038</v>
      </c>
      <c r="W102" s="17">
        <f t="shared" si="6"/>
        <v>1</v>
      </c>
      <c r="X102" s="17" t="s">
        <v>1920</v>
      </c>
      <c r="Y102" s="17" t="s">
        <v>2039</v>
      </c>
      <c r="Z102" s="17" t="s">
        <v>2040</v>
      </c>
      <c r="AA102" s="17">
        <f t="shared" si="7"/>
        <v>1</v>
      </c>
      <c r="AB102" s="17" t="s">
        <v>160</v>
      </c>
      <c r="AC102" s="17">
        <f t="shared" si="8"/>
        <v>0</v>
      </c>
      <c r="AD102" s="17" t="s">
        <v>2041</v>
      </c>
      <c r="AE102" s="17">
        <f t="shared" si="9"/>
        <v>1</v>
      </c>
      <c r="AF102" s="17" t="s">
        <v>1925</v>
      </c>
      <c r="AG102" s="17" t="str">
        <f t="shared" si="10"/>
        <v>Clinical and Health</v>
      </c>
      <c r="AH102" s="17" t="s">
        <v>2042</v>
      </c>
      <c r="AI102" s="16">
        <f t="shared" si="11"/>
        <v>3</v>
      </c>
      <c r="AJ102" s="17"/>
      <c r="AK102" s="18"/>
      <c r="AL102" s="18"/>
    </row>
    <row r="103" spans="1:38" s="22" customFormat="1" ht="172.35" x14ac:dyDescent="0.5">
      <c r="A103" s="16">
        <v>102</v>
      </c>
      <c r="B103" s="17" t="s">
        <v>35</v>
      </c>
      <c r="C103" s="17" t="s">
        <v>2043</v>
      </c>
      <c r="D103" s="17" t="s">
        <v>2044</v>
      </c>
      <c r="E103" s="17" t="s">
        <v>2045</v>
      </c>
      <c r="F103" s="17" t="s">
        <v>2046</v>
      </c>
      <c r="G103" s="17" t="s">
        <v>2047</v>
      </c>
      <c r="H103" s="17">
        <v>2012</v>
      </c>
      <c r="I103" s="17" t="s">
        <v>148</v>
      </c>
      <c r="J103" s="17" t="s">
        <v>2048</v>
      </c>
      <c r="K103" s="17" t="s">
        <v>273</v>
      </c>
      <c r="L103" s="17">
        <v>6.7</v>
      </c>
      <c r="M103" s="17">
        <v>1384</v>
      </c>
      <c r="N103" s="17" t="s">
        <v>2049</v>
      </c>
      <c r="O103" s="17" t="s">
        <v>2050</v>
      </c>
      <c r="P103" s="17" t="s">
        <v>2051</v>
      </c>
      <c r="Q103" s="17" t="s">
        <v>2052</v>
      </c>
      <c r="R103" s="17" cm="1">
        <f t="array" ref="R103">IF(AND(OR(ISNUMBER(SEARCH({"mzml","mzxml","mztab","mztab-m","mgf","mzdata","peakml","traml","mzidentml","pepxml","protxml","imzml","nmrml","fid","cnx","smiles","inchi","inchikey","sdf","mol","mol2","xyz","smi","pdb","mmcif","cif","fasta","fastq","gtf","sam","bam","vcf","csv","tsv","json","hdf5","h5ad","msp","ms","isa-tab","biom"},LOWER(P103)))),OR(ISNUMBER(SEARCH({"mzml","mzxml","mztab","mztab-m","mgf","msp","pepxml","protxml","mzidentml","idxml","featurexml","consensusxml","qcml","mzquantml","peakml","nmrml","massbank","smiles","inchi","inchikey","sdf","mol","smi","pdb","mmcif","cif","fasta","fastq","bam","vcf","genbank","gff","csv","tsv","json","xlsx","hdf5","h5ad","graphml","gml","isa-tab","blib","newick","onnx"},LOWER(Q103))))),1,0)</f>
        <v>1</v>
      </c>
      <c r="S103" s="17" t="s">
        <v>2053</v>
      </c>
      <c r="T103" s="17" t="s">
        <v>160</v>
      </c>
      <c r="U103" s="17">
        <v>0</v>
      </c>
      <c r="V103" s="17" t="s">
        <v>2054</v>
      </c>
      <c r="W103" s="17">
        <f t="shared" si="6"/>
        <v>1</v>
      </c>
      <c r="X103" s="17" t="s">
        <v>2055</v>
      </c>
      <c r="Y103" s="17" t="s">
        <v>2056</v>
      </c>
      <c r="Z103" s="17" t="s">
        <v>160</v>
      </c>
      <c r="AA103" s="17">
        <f t="shared" si="7"/>
        <v>0</v>
      </c>
      <c r="AB103" s="17" t="s">
        <v>2057</v>
      </c>
      <c r="AC103" s="17">
        <f t="shared" si="8"/>
        <v>0</v>
      </c>
      <c r="AD103" s="17" t="s">
        <v>2058</v>
      </c>
      <c r="AE103" s="17">
        <f t="shared" si="9"/>
        <v>0</v>
      </c>
      <c r="AF103" s="17" t="s">
        <v>2059</v>
      </c>
      <c r="AG103" s="17" t="str">
        <f t="shared" si="10"/>
        <v>Clinical and Health</v>
      </c>
      <c r="AH103" s="17" t="s">
        <v>2060</v>
      </c>
      <c r="AI103" s="16">
        <f t="shared" si="11"/>
        <v>2</v>
      </c>
      <c r="AJ103" s="17"/>
    </row>
    <row r="104" spans="1:38" s="22" customFormat="1" ht="188" x14ac:dyDescent="0.5">
      <c r="A104" s="16">
        <v>103</v>
      </c>
      <c r="B104" s="17" t="s">
        <v>79</v>
      </c>
      <c r="C104" s="17" t="s">
        <v>2061</v>
      </c>
      <c r="D104" s="17" t="s">
        <v>2062</v>
      </c>
      <c r="E104" s="17" t="s">
        <v>2063</v>
      </c>
      <c r="F104" s="17" t="s">
        <v>2064</v>
      </c>
      <c r="G104" s="17" t="s">
        <v>2065</v>
      </c>
      <c r="H104" s="17">
        <v>2017</v>
      </c>
      <c r="I104" s="17" t="s">
        <v>148</v>
      </c>
      <c r="J104" s="17" t="s">
        <v>2066</v>
      </c>
      <c r="K104" s="17" t="s">
        <v>574</v>
      </c>
      <c r="L104" s="17">
        <v>16.600000000000001</v>
      </c>
      <c r="M104" s="17">
        <v>191</v>
      </c>
      <c r="N104" s="17" t="s">
        <v>2067</v>
      </c>
      <c r="O104" s="17" t="s">
        <v>2068</v>
      </c>
      <c r="P104" s="17" t="s">
        <v>2069</v>
      </c>
      <c r="Q104" s="17" t="s">
        <v>2070</v>
      </c>
      <c r="R104" s="17" cm="1">
        <f t="array" ref="R104">IF(AND(OR(ISNUMBER(SEARCH({"mzml","mzxml","mztab","mztab-m","mgf","mzdata","peakml","traml","mzidentml","pepxml","protxml","imzml","nmrml","fid","cnx","smiles","inchi","inchikey","sdf","mol","mol2","xyz","smi","pdb","mmcif","cif","fasta","fastq","gtf","sam","bam","vcf","csv","tsv","json","hdf5","h5ad","msp","ms","isa-tab","biom"},LOWER(P104)))),OR(ISNUMBER(SEARCH({"mzml","mzxml","mztab","mztab-m","mgf","msp","pepxml","protxml","mzidentml","idxml","featurexml","consensusxml","qcml","mzquantml","peakml","nmrml","massbank","smiles","inchi","inchikey","sdf","mol","smi","pdb","mmcif","cif","fasta","fastq","bam","vcf","genbank","gff","csv","tsv","json","xlsx","hdf5","h5ad","graphml","gml","isa-tab","blib","newick","onnx"},LOWER(Q104))))),1,0)</f>
        <v>1</v>
      </c>
      <c r="S104" s="17" t="s">
        <v>2071</v>
      </c>
      <c r="T104" s="17" t="s">
        <v>2072</v>
      </c>
      <c r="U104" s="17">
        <v>1</v>
      </c>
      <c r="V104" s="17" t="s">
        <v>2073</v>
      </c>
      <c r="W104" s="17">
        <f t="shared" si="6"/>
        <v>1</v>
      </c>
      <c r="X104" s="17" t="s">
        <v>2074</v>
      </c>
      <c r="Y104" s="17" t="s">
        <v>2075</v>
      </c>
      <c r="Z104" s="17" t="s">
        <v>2076</v>
      </c>
      <c r="AA104" s="17">
        <f t="shared" si="7"/>
        <v>1</v>
      </c>
      <c r="AB104" s="17" t="s">
        <v>2077</v>
      </c>
      <c r="AC104" s="17">
        <f t="shared" si="8"/>
        <v>1</v>
      </c>
      <c r="AD104" s="17" t="s">
        <v>2078</v>
      </c>
      <c r="AE104" s="17">
        <f t="shared" si="9"/>
        <v>1</v>
      </c>
      <c r="AF104" s="17" t="s">
        <v>2079</v>
      </c>
      <c r="AG104" s="17" t="str">
        <f t="shared" si="10"/>
        <v>Clinical and Health</v>
      </c>
      <c r="AH104" s="17" t="s">
        <v>2080</v>
      </c>
      <c r="AI104" s="16">
        <f t="shared" si="11"/>
        <v>6</v>
      </c>
      <c r="AJ104" s="17"/>
      <c r="AK104" s="18"/>
      <c r="AL104" s="18"/>
    </row>
    <row r="105" spans="1:38" s="24" customFormat="1" ht="15" customHeight="1" x14ac:dyDescent="0.5">
      <c r="A105" s="21"/>
      <c r="B105" s="17"/>
      <c r="C105" s="17"/>
      <c r="D105" s="17"/>
      <c r="E105" s="17"/>
      <c r="F105" s="17"/>
      <c r="G105" s="17"/>
      <c r="H105" s="17"/>
      <c r="I105" s="17"/>
      <c r="J105" s="17"/>
      <c r="K105" s="17"/>
      <c r="L105" s="17"/>
      <c r="M105" s="17"/>
      <c r="N105" s="17"/>
      <c r="O105" s="17"/>
      <c r="P105" s="17"/>
      <c r="Q105" s="17"/>
      <c r="R105" s="23">
        <f>SUM(R2:R104)</f>
        <v>55</v>
      </c>
      <c r="S105" s="17"/>
      <c r="T105" s="17"/>
      <c r="U105" s="23">
        <f>SUM(U2:U104)</f>
        <v>57</v>
      </c>
      <c r="V105" s="17"/>
      <c r="W105" s="23">
        <f>SUM(W2:W104)</f>
        <v>73</v>
      </c>
      <c r="X105" s="17"/>
      <c r="Y105" s="17"/>
      <c r="Z105" s="17"/>
      <c r="AA105" s="23">
        <f>SUM(AA2:AA104)</f>
        <v>90</v>
      </c>
      <c r="AB105" s="17"/>
      <c r="AC105" s="23">
        <f>SUM(AC2:AC104)</f>
        <v>78</v>
      </c>
      <c r="AD105" s="17"/>
      <c r="AE105" s="23">
        <f>SUM(AE2:AE104)</f>
        <v>40</v>
      </c>
      <c r="AF105" s="17"/>
      <c r="AG105" s="17"/>
      <c r="AH105"/>
      <c r="AI105" s="21"/>
      <c r="AJ105" s="17"/>
    </row>
    <row r="106" spans="1:38" ht="15" customHeight="1" x14ac:dyDescent="0.5">
      <c r="L106" s="27"/>
      <c r="R106" s="18">
        <v>5</v>
      </c>
      <c r="U106" s="18">
        <v>4</v>
      </c>
      <c r="W106" s="18">
        <v>3</v>
      </c>
      <c r="AA106" s="18">
        <v>1</v>
      </c>
      <c r="AC106" s="18">
        <v>2</v>
      </c>
      <c r="AE106" s="18">
        <v>6</v>
      </c>
    </row>
    <row r="107" spans="1:38" ht="12.75" customHeight="1" x14ac:dyDescent="0.5">
      <c r="A107" s="28"/>
      <c r="L107" s="27"/>
    </row>
    <row r="108" spans="1:38" ht="12.75" customHeight="1" x14ac:dyDescent="0.5">
      <c r="A108" s="28"/>
      <c r="L108" s="27"/>
    </row>
    <row r="109" spans="1:38" ht="12.75" customHeight="1" x14ac:dyDescent="0.5">
      <c r="A109" s="28"/>
      <c r="L109" s="27"/>
    </row>
    <row r="110" spans="1:38" ht="12.75" customHeight="1" x14ac:dyDescent="0.5">
      <c r="A110" s="28"/>
      <c r="L110" s="27"/>
    </row>
    <row r="111" spans="1:38" ht="12.75" customHeight="1" x14ac:dyDescent="0.5">
      <c r="A111" s="28"/>
      <c r="L111" s="27"/>
    </row>
    <row r="112" spans="1:38" ht="12.75" customHeight="1" x14ac:dyDescent="0.5">
      <c r="A112" s="28"/>
      <c r="L112" s="27"/>
    </row>
    <row r="113" spans="1:12" ht="12.75" customHeight="1" x14ac:dyDescent="0.5">
      <c r="A113" s="28"/>
      <c r="L113" s="27"/>
    </row>
    <row r="114" spans="1:12" ht="12.75" customHeight="1" x14ac:dyDescent="0.5">
      <c r="A114" s="28"/>
      <c r="L114" s="27"/>
    </row>
    <row r="115" spans="1:12" ht="12.75" customHeight="1" x14ac:dyDescent="0.5">
      <c r="A115" s="28"/>
      <c r="L115" s="27"/>
    </row>
    <row r="116" spans="1:12" ht="12.75" customHeight="1" x14ac:dyDescent="0.5">
      <c r="A116" s="28"/>
      <c r="L116" s="27"/>
    </row>
    <row r="117" spans="1:12" ht="12.75" customHeight="1" x14ac:dyDescent="0.5">
      <c r="A117" s="28"/>
      <c r="L117" s="27"/>
    </row>
    <row r="118" spans="1:12" ht="12.75" customHeight="1" x14ac:dyDescent="0.5">
      <c r="A118" s="28"/>
      <c r="L118" s="27"/>
    </row>
    <row r="119" spans="1:12" ht="12.75" customHeight="1" x14ac:dyDescent="0.5">
      <c r="A119" s="28"/>
      <c r="L119" s="27"/>
    </row>
    <row r="120" spans="1:12" ht="12.75" customHeight="1" x14ac:dyDescent="0.5">
      <c r="A120" s="28"/>
      <c r="L120" s="27"/>
    </row>
    <row r="121" spans="1:12" ht="12.75" customHeight="1" x14ac:dyDescent="0.5">
      <c r="A121" s="28"/>
      <c r="L121" s="27"/>
    </row>
    <row r="122" spans="1:12" ht="12.75" customHeight="1" x14ac:dyDescent="0.5">
      <c r="A122" s="28"/>
      <c r="L122" s="27"/>
    </row>
    <row r="123" spans="1:12" ht="12.75" customHeight="1" x14ac:dyDescent="0.5">
      <c r="A123" s="28"/>
      <c r="L123" s="27"/>
    </row>
    <row r="124" spans="1:12" ht="12.75" customHeight="1" x14ac:dyDescent="0.5">
      <c r="A124" s="28"/>
      <c r="L124" s="27"/>
    </row>
    <row r="125" spans="1:12" ht="12.75" customHeight="1" x14ac:dyDescent="0.5">
      <c r="A125" s="28"/>
      <c r="L125" s="27"/>
    </row>
    <row r="126" spans="1:12" ht="12.75" customHeight="1" x14ac:dyDescent="0.5">
      <c r="A126" s="28"/>
      <c r="L126" s="27"/>
    </row>
    <row r="127" spans="1:12" ht="12.75" customHeight="1" x14ac:dyDescent="0.5">
      <c r="A127" s="28"/>
      <c r="L127" s="27"/>
    </row>
    <row r="128" spans="1:12" ht="12.75" customHeight="1" x14ac:dyDescent="0.5">
      <c r="A128" s="28"/>
      <c r="L128" s="27"/>
    </row>
    <row r="129" spans="1:12" ht="12.75" customHeight="1" x14ac:dyDescent="0.5">
      <c r="A129" s="28"/>
      <c r="L129" s="27"/>
    </row>
    <row r="130" spans="1:12" ht="12.75" customHeight="1" x14ac:dyDescent="0.5">
      <c r="A130" s="28"/>
      <c r="L130" s="27"/>
    </row>
    <row r="131" spans="1:12" ht="12.75" customHeight="1" x14ac:dyDescent="0.5">
      <c r="A131" s="28"/>
      <c r="L131" s="27"/>
    </row>
    <row r="132" spans="1:12" ht="12.75" customHeight="1" x14ac:dyDescent="0.5">
      <c r="A132" s="28"/>
      <c r="L132" s="27"/>
    </row>
    <row r="133" spans="1:12" ht="12.75" customHeight="1" x14ac:dyDescent="0.5">
      <c r="A133" s="28"/>
      <c r="L133" s="27"/>
    </row>
    <row r="134" spans="1:12" ht="12.75" customHeight="1" x14ac:dyDescent="0.5">
      <c r="A134" s="28"/>
      <c r="L134" s="27"/>
    </row>
    <row r="135" spans="1:12" ht="12.75" customHeight="1" x14ac:dyDescent="0.5">
      <c r="A135" s="28"/>
      <c r="L135" s="27"/>
    </row>
    <row r="136" spans="1:12" ht="12.75" customHeight="1" x14ac:dyDescent="0.5">
      <c r="A136" s="28"/>
      <c r="L136" s="27"/>
    </row>
    <row r="137" spans="1:12" ht="12.75" customHeight="1" x14ac:dyDescent="0.5">
      <c r="A137" s="28"/>
      <c r="L137" s="27"/>
    </row>
    <row r="138" spans="1:12" ht="12.75" customHeight="1" x14ac:dyDescent="0.5">
      <c r="A138" s="28"/>
      <c r="L138" s="27"/>
    </row>
    <row r="139" spans="1:12" ht="12.75" customHeight="1" x14ac:dyDescent="0.5">
      <c r="A139" s="28"/>
      <c r="L139" s="27"/>
    </row>
    <row r="140" spans="1:12" ht="12.75" customHeight="1" x14ac:dyDescent="0.5">
      <c r="A140" s="28"/>
      <c r="L140" s="27"/>
    </row>
    <row r="141" spans="1:12" ht="12.75" customHeight="1" x14ac:dyDescent="0.5">
      <c r="A141" s="28"/>
      <c r="L141" s="27"/>
    </row>
    <row r="142" spans="1:12" ht="12.75" customHeight="1" x14ac:dyDescent="0.5">
      <c r="A142" s="28"/>
      <c r="L142" s="27"/>
    </row>
    <row r="143" spans="1:12" ht="12.75" customHeight="1" x14ac:dyDescent="0.5">
      <c r="A143" s="28"/>
      <c r="L143" s="27"/>
    </row>
    <row r="144" spans="1:12" ht="12.75" customHeight="1" x14ac:dyDescent="0.5">
      <c r="A144" s="28"/>
      <c r="L144" s="27"/>
    </row>
    <row r="145" spans="1:12" ht="12.75" customHeight="1" x14ac:dyDescent="0.5">
      <c r="A145" s="28"/>
      <c r="L145" s="27"/>
    </row>
    <row r="146" spans="1:12" ht="12.75" customHeight="1" x14ac:dyDescent="0.5">
      <c r="A146" s="28"/>
      <c r="L146" s="27"/>
    </row>
    <row r="147" spans="1:12" ht="12.75" customHeight="1" x14ac:dyDescent="0.5">
      <c r="A147" s="28"/>
      <c r="L147" s="27"/>
    </row>
    <row r="148" spans="1:12" ht="12.75" customHeight="1" x14ac:dyDescent="0.5">
      <c r="A148" s="28"/>
      <c r="L148" s="27"/>
    </row>
    <row r="149" spans="1:12" ht="12.75" customHeight="1" x14ac:dyDescent="0.5">
      <c r="A149" s="28"/>
      <c r="L149" s="27"/>
    </row>
    <row r="150" spans="1:12" ht="12.75" customHeight="1" x14ac:dyDescent="0.5">
      <c r="A150" s="28"/>
      <c r="L150" s="27"/>
    </row>
    <row r="151" spans="1:12" ht="12.75" customHeight="1" x14ac:dyDescent="0.5">
      <c r="A151" s="28"/>
      <c r="L151" s="27"/>
    </row>
    <row r="152" spans="1:12" ht="12.75" customHeight="1" x14ac:dyDescent="0.5">
      <c r="A152" s="28"/>
      <c r="L152" s="27"/>
    </row>
    <row r="153" spans="1:12" ht="12.75" customHeight="1" x14ac:dyDescent="0.5">
      <c r="A153" s="28"/>
      <c r="L153" s="27"/>
    </row>
    <row r="154" spans="1:12" ht="12.75" customHeight="1" x14ac:dyDescent="0.5">
      <c r="A154" s="28"/>
      <c r="L154" s="27"/>
    </row>
    <row r="155" spans="1:12" ht="12.75" customHeight="1" x14ac:dyDescent="0.5">
      <c r="A155" s="28"/>
      <c r="L155" s="27"/>
    </row>
    <row r="156" spans="1:12" ht="12.75" customHeight="1" x14ac:dyDescent="0.5">
      <c r="A156" s="28"/>
      <c r="L156" s="27"/>
    </row>
    <row r="157" spans="1:12" ht="12.75" customHeight="1" x14ac:dyDescent="0.5">
      <c r="A157" s="28"/>
      <c r="L157" s="27"/>
    </row>
    <row r="158" spans="1:12" ht="12.75" customHeight="1" x14ac:dyDescent="0.5">
      <c r="A158" s="28"/>
      <c r="L158" s="27"/>
    </row>
    <row r="159" spans="1:12" ht="12.75" customHeight="1" x14ac:dyDescent="0.5">
      <c r="A159" s="28"/>
      <c r="L159" s="27"/>
    </row>
    <row r="160" spans="1:12" ht="12.75" customHeight="1" x14ac:dyDescent="0.5">
      <c r="A160" s="28"/>
      <c r="L160" s="27"/>
    </row>
    <row r="161" spans="1:12" ht="12.75" customHeight="1" x14ac:dyDescent="0.5">
      <c r="A161" s="28"/>
      <c r="L161" s="27"/>
    </row>
    <row r="162" spans="1:12" ht="12.75" customHeight="1" x14ac:dyDescent="0.5">
      <c r="A162" s="28"/>
      <c r="L162" s="27"/>
    </row>
    <row r="163" spans="1:12" ht="12.75" customHeight="1" x14ac:dyDescent="0.5">
      <c r="A163" s="28"/>
      <c r="L163" s="27"/>
    </row>
    <row r="164" spans="1:12" ht="12.75" customHeight="1" x14ac:dyDescent="0.5">
      <c r="A164" s="28"/>
      <c r="L164" s="27"/>
    </row>
    <row r="165" spans="1:12" ht="12.75" customHeight="1" x14ac:dyDescent="0.5">
      <c r="A165" s="28"/>
      <c r="L165" s="27"/>
    </row>
    <row r="166" spans="1:12" ht="12.75" customHeight="1" x14ac:dyDescent="0.5">
      <c r="A166" s="28"/>
      <c r="L166" s="27"/>
    </row>
    <row r="167" spans="1:12" ht="12.75" customHeight="1" x14ac:dyDescent="0.5">
      <c r="A167" s="28"/>
      <c r="L167" s="27"/>
    </row>
    <row r="168" spans="1:12" ht="12.75" customHeight="1" x14ac:dyDescent="0.5">
      <c r="A168" s="28"/>
      <c r="L168" s="27"/>
    </row>
    <row r="169" spans="1:12" ht="12.75" customHeight="1" x14ac:dyDescent="0.5">
      <c r="A169" s="28"/>
      <c r="L169" s="27"/>
    </row>
    <row r="170" spans="1:12" ht="12.75" customHeight="1" x14ac:dyDescent="0.5">
      <c r="A170" s="28"/>
      <c r="L170" s="27"/>
    </row>
    <row r="171" spans="1:12" ht="12.75" customHeight="1" x14ac:dyDescent="0.5">
      <c r="A171" s="28"/>
      <c r="L171" s="27"/>
    </row>
    <row r="172" spans="1:12" ht="12.75" customHeight="1" x14ac:dyDescent="0.5">
      <c r="A172" s="28"/>
      <c r="L172" s="27"/>
    </row>
    <row r="173" spans="1:12" ht="12.75" customHeight="1" x14ac:dyDescent="0.5">
      <c r="A173" s="28"/>
      <c r="L173" s="27"/>
    </row>
    <row r="174" spans="1:12" ht="12.75" customHeight="1" x14ac:dyDescent="0.5">
      <c r="A174" s="28"/>
      <c r="L174" s="27"/>
    </row>
    <row r="175" spans="1:12" ht="12.75" customHeight="1" x14ac:dyDescent="0.5">
      <c r="A175" s="28"/>
      <c r="L175" s="27"/>
    </row>
    <row r="176" spans="1:12" ht="12.75" customHeight="1" x14ac:dyDescent="0.5">
      <c r="A176" s="28"/>
      <c r="L176" s="27"/>
    </row>
    <row r="177" spans="1:12" ht="12.75" customHeight="1" x14ac:dyDescent="0.5">
      <c r="A177" s="28"/>
      <c r="L177" s="27"/>
    </row>
    <row r="178" spans="1:12" ht="12.75" customHeight="1" x14ac:dyDescent="0.5">
      <c r="A178" s="28"/>
      <c r="L178" s="27"/>
    </row>
    <row r="179" spans="1:12" ht="12.75" customHeight="1" x14ac:dyDescent="0.5">
      <c r="A179" s="28"/>
      <c r="L179" s="27"/>
    </row>
    <row r="180" spans="1:12" ht="12.75" customHeight="1" x14ac:dyDescent="0.5">
      <c r="A180" s="28"/>
      <c r="L180" s="27"/>
    </row>
    <row r="181" spans="1:12" ht="12.75" customHeight="1" x14ac:dyDescent="0.5">
      <c r="A181" s="28"/>
      <c r="L181" s="27"/>
    </row>
    <row r="182" spans="1:12" ht="12.75" customHeight="1" x14ac:dyDescent="0.5">
      <c r="A182" s="28"/>
      <c r="L182" s="27"/>
    </row>
    <row r="183" spans="1:12" ht="12.75" customHeight="1" x14ac:dyDescent="0.5">
      <c r="A183" s="28"/>
      <c r="L183" s="27"/>
    </row>
    <row r="184" spans="1:12" ht="12.75" customHeight="1" x14ac:dyDescent="0.5">
      <c r="A184" s="28"/>
      <c r="L184" s="27"/>
    </row>
    <row r="185" spans="1:12" ht="12.75" customHeight="1" x14ac:dyDescent="0.5">
      <c r="A185" s="28"/>
      <c r="L185" s="27"/>
    </row>
    <row r="186" spans="1:12" ht="12.75" customHeight="1" x14ac:dyDescent="0.5">
      <c r="A186" s="28"/>
      <c r="L186" s="27"/>
    </row>
    <row r="187" spans="1:12" ht="12.75" customHeight="1" x14ac:dyDescent="0.5">
      <c r="A187" s="28"/>
      <c r="L187" s="27"/>
    </row>
    <row r="188" spans="1:12" ht="12.75" customHeight="1" x14ac:dyDescent="0.5">
      <c r="A188" s="28"/>
      <c r="L188" s="27"/>
    </row>
    <row r="189" spans="1:12" ht="12.75" customHeight="1" x14ac:dyDescent="0.5">
      <c r="A189" s="28"/>
      <c r="L189" s="27"/>
    </row>
    <row r="190" spans="1:12" ht="12.75" customHeight="1" x14ac:dyDescent="0.5">
      <c r="A190" s="28"/>
      <c r="L190" s="27"/>
    </row>
    <row r="191" spans="1:12" ht="12.75" customHeight="1" x14ac:dyDescent="0.5">
      <c r="A191" s="28"/>
      <c r="L191" s="27"/>
    </row>
    <row r="192" spans="1:12" ht="12.75" customHeight="1" x14ac:dyDescent="0.5">
      <c r="A192" s="28"/>
      <c r="L192" s="27"/>
    </row>
    <row r="193" spans="1:12" ht="12.75" customHeight="1" x14ac:dyDescent="0.5">
      <c r="A193" s="28"/>
      <c r="L193" s="27"/>
    </row>
    <row r="194" spans="1:12" ht="12.75" customHeight="1" x14ac:dyDescent="0.5">
      <c r="A194" s="28"/>
      <c r="L194" s="27"/>
    </row>
    <row r="195" spans="1:12" ht="12.75" customHeight="1" x14ac:dyDescent="0.5">
      <c r="A195" s="28"/>
      <c r="L195" s="27"/>
    </row>
    <row r="196" spans="1:12" ht="12.75" customHeight="1" x14ac:dyDescent="0.5">
      <c r="A196" s="28"/>
      <c r="L196" s="27"/>
    </row>
    <row r="197" spans="1:12" ht="12.75" customHeight="1" x14ac:dyDescent="0.5">
      <c r="A197" s="28"/>
      <c r="L197" s="27"/>
    </row>
    <row r="198" spans="1:12" ht="12.75" customHeight="1" x14ac:dyDescent="0.5">
      <c r="A198" s="28"/>
      <c r="L198" s="27"/>
    </row>
    <row r="199" spans="1:12" ht="12.75" customHeight="1" x14ac:dyDescent="0.5">
      <c r="A199" s="28"/>
      <c r="L199" s="27"/>
    </row>
    <row r="200" spans="1:12" ht="12.75" customHeight="1" x14ac:dyDescent="0.5">
      <c r="A200" s="28"/>
      <c r="L200" s="27"/>
    </row>
    <row r="201" spans="1:12" ht="12.75" customHeight="1" x14ac:dyDescent="0.5">
      <c r="A201" s="28"/>
      <c r="L201" s="27"/>
    </row>
    <row r="202" spans="1:12" ht="12.75" customHeight="1" x14ac:dyDescent="0.5">
      <c r="A202" s="28"/>
      <c r="L202" s="27"/>
    </row>
    <row r="203" spans="1:12" ht="12.75" customHeight="1" x14ac:dyDescent="0.5">
      <c r="A203" s="28"/>
      <c r="L203" s="27"/>
    </row>
    <row r="204" spans="1:12" ht="12.75" customHeight="1" x14ac:dyDescent="0.5">
      <c r="A204" s="28"/>
      <c r="L204" s="27"/>
    </row>
    <row r="205" spans="1:12" ht="12.75" customHeight="1" x14ac:dyDescent="0.5">
      <c r="A205" s="28"/>
      <c r="L205" s="27"/>
    </row>
    <row r="206" spans="1:12" ht="12.75" customHeight="1" x14ac:dyDescent="0.5">
      <c r="A206" s="28"/>
      <c r="L206" s="27"/>
    </row>
    <row r="207" spans="1:12" ht="12.75" customHeight="1" x14ac:dyDescent="0.5">
      <c r="A207" s="28"/>
      <c r="L207" s="27"/>
    </row>
    <row r="208" spans="1:12" ht="12.75" customHeight="1" x14ac:dyDescent="0.5">
      <c r="A208" s="28"/>
      <c r="L208" s="27"/>
    </row>
    <row r="209" spans="1:12" ht="12.75" customHeight="1" x14ac:dyDescent="0.5">
      <c r="A209" s="28"/>
      <c r="L209" s="27"/>
    </row>
    <row r="210" spans="1:12" ht="12.75" customHeight="1" x14ac:dyDescent="0.5">
      <c r="A210" s="28"/>
      <c r="L210" s="27"/>
    </row>
    <row r="211" spans="1:12" ht="12.75" customHeight="1" x14ac:dyDescent="0.5">
      <c r="A211" s="28"/>
      <c r="L211" s="27"/>
    </row>
    <row r="212" spans="1:12" ht="12.75" customHeight="1" x14ac:dyDescent="0.5">
      <c r="A212" s="28"/>
      <c r="L212" s="27"/>
    </row>
    <row r="213" spans="1:12" ht="12.75" customHeight="1" x14ac:dyDescent="0.5">
      <c r="A213" s="28"/>
      <c r="L213" s="27"/>
    </row>
    <row r="214" spans="1:12" ht="12.75" customHeight="1" x14ac:dyDescent="0.5">
      <c r="A214" s="28"/>
      <c r="L214" s="27"/>
    </row>
    <row r="215" spans="1:12" ht="12.75" customHeight="1" x14ac:dyDescent="0.5">
      <c r="A215" s="28"/>
      <c r="L215" s="27"/>
    </row>
    <row r="216" spans="1:12" ht="12.75" customHeight="1" x14ac:dyDescent="0.5">
      <c r="A216" s="28"/>
      <c r="L216" s="27"/>
    </row>
    <row r="217" spans="1:12" ht="12.75" customHeight="1" x14ac:dyDescent="0.5">
      <c r="A217" s="28"/>
      <c r="L217" s="27"/>
    </row>
    <row r="218" spans="1:12" ht="12.75" customHeight="1" x14ac:dyDescent="0.5">
      <c r="A218" s="28"/>
      <c r="L218" s="27"/>
    </row>
    <row r="219" spans="1:12" ht="12.75" customHeight="1" x14ac:dyDescent="0.5">
      <c r="A219" s="28"/>
      <c r="L219" s="27"/>
    </row>
    <row r="220" spans="1:12" ht="12.75" customHeight="1" x14ac:dyDescent="0.5">
      <c r="A220" s="28"/>
      <c r="L220" s="27"/>
    </row>
    <row r="221" spans="1:12" ht="12.75" customHeight="1" x14ac:dyDescent="0.5">
      <c r="A221" s="28"/>
      <c r="L221" s="27"/>
    </row>
    <row r="222" spans="1:12" ht="12.75" customHeight="1" x14ac:dyDescent="0.5">
      <c r="A222" s="28"/>
      <c r="L222" s="27"/>
    </row>
    <row r="223" spans="1:12" ht="12.75" customHeight="1" x14ac:dyDescent="0.5">
      <c r="A223" s="28"/>
      <c r="L223" s="27"/>
    </row>
    <row r="224" spans="1:12" ht="12.75" customHeight="1" x14ac:dyDescent="0.5">
      <c r="L224" s="27"/>
    </row>
    <row r="225" spans="12:12" ht="12.75" customHeight="1" x14ac:dyDescent="0.5">
      <c r="L225" s="27"/>
    </row>
    <row r="226" spans="12:12" ht="12.75" customHeight="1" x14ac:dyDescent="0.5">
      <c r="L226" s="27"/>
    </row>
    <row r="227" spans="12:12" ht="12.75" customHeight="1" x14ac:dyDescent="0.5">
      <c r="L227" s="27"/>
    </row>
    <row r="228" spans="12:12" ht="12.75" customHeight="1" x14ac:dyDescent="0.5">
      <c r="L228" s="27"/>
    </row>
    <row r="229" spans="12:12" ht="12.75" customHeight="1" x14ac:dyDescent="0.5">
      <c r="L229" s="27"/>
    </row>
    <row r="230" spans="12:12" ht="12.75" customHeight="1" x14ac:dyDescent="0.5">
      <c r="L230" s="27"/>
    </row>
    <row r="231" spans="12:12" ht="12.75" customHeight="1" x14ac:dyDescent="0.5">
      <c r="L231" s="27"/>
    </row>
    <row r="232" spans="12:12" ht="12.75" customHeight="1" x14ac:dyDescent="0.5">
      <c r="L232" s="27"/>
    </row>
    <row r="233" spans="12:12" ht="12.75" customHeight="1" x14ac:dyDescent="0.5">
      <c r="L233" s="27"/>
    </row>
    <row r="234" spans="12:12" ht="12.75" customHeight="1" x14ac:dyDescent="0.5">
      <c r="L234" s="27"/>
    </row>
    <row r="235" spans="12:12" ht="12.75" customHeight="1" x14ac:dyDescent="0.5">
      <c r="L235" s="27"/>
    </row>
    <row r="236" spans="12:12" ht="12.75" customHeight="1" x14ac:dyDescent="0.5">
      <c r="L236" s="27"/>
    </row>
    <row r="237" spans="12:12" ht="12.75" customHeight="1" x14ac:dyDescent="0.5">
      <c r="L237" s="27"/>
    </row>
    <row r="238" spans="12:12" ht="12.75" customHeight="1" x14ac:dyDescent="0.5">
      <c r="L238" s="27"/>
    </row>
    <row r="239" spans="12:12" ht="12.75" customHeight="1" x14ac:dyDescent="0.5">
      <c r="L239" s="27"/>
    </row>
    <row r="240" spans="12:12" ht="12.75" customHeight="1" x14ac:dyDescent="0.5">
      <c r="L240" s="27"/>
    </row>
    <row r="241" spans="12:12" ht="12.75" customHeight="1" x14ac:dyDescent="0.5">
      <c r="L241" s="27"/>
    </row>
    <row r="242" spans="12:12" ht="12.75" customHeight="1" x14ac:dyDescent="0.5">
      <c r="L242" s="27"/>
    </row>
    <row r="243" spans="12:12" ht="12.75" customHeight="1" x14ac:dyDescent="0.5">
      <c r="L243" s="27"/>
    </row>
    <row r="244" spans="12:12" ht="12.75" customHeight="1" x14ac:dyDescent="0.5">
      <c r="L244" s="27"/>
    </row>
    <row r="245" spans="12:12" ht="12.75" customHeight="1" x14ac:dyDescent="0.5">
      <c r="L245" s="27"/>
    </row>
    <row r="246" spans="12:12" ht="12.75" customHeight="1" x14ac:dyDescent="0.5">
      <c r="L246" s="27"/>
    </row>
    <row r="247" spans="12:12" ht="12.75" customHeight="1" x14ac:dyDescent="0.5">
      <c r="L247" s="27"/>
    </row>
    <row r="248" spans="12:12" ht="12.75" customHeight="1" x14ac:dyDescent="0.5">
      <c r="L248" s="27"/>
    </row>
    <row r="249" spans="12:12" ht="12.75" customHeight="1" x14ac:dyDescent="0.5">
      <c r="L249" s="27"/>
    </row>
    <row r="250" spans="12:12" ht="12.75" customHeight="1" x14ac:dyDescent="0.5">
      <c r="L250" s="27"/>
    </row>
    <row r="251" spans="12:12" ht="12.75" customHeight="1" x14ac:dyDescent="0.5">
      <c r="L251" s="27"/>
    </row>
    <row r="252" spans="12:12" ht="12.75" customHeight="1" x14ac:dyDescent="0.5">
      <c r="L252" s="27"/>
    </row>
    <row r="253" spans="12:12" ht="12.75" customHeight="1" x14ac:dyDescent="0.5">
      <c r="L253" s="27"/>
    </row>
    <row r="254" spans="12:12" ht="12.75" customHeight="1" x14ac:dyDescent="0.5">
      <c r="L254" s="27"/>
    </row>
    <row r="255" spans="12:12" ht="12.75" customHeight="1" x14ac:dyDescent="0.5">
      <c r="L255" s="27"/>
    </row>
    <row r="256" spans="12:12" ht="12.75" customHeight="1" x14ac:dyDescent="0.5">
      <c r="L256" s="27"/>
    </row>
    <row r="257" spans="12:12" ht="12.75" customHeight="1" x14ac:dyDescent="0.5">
      <c r="L257" s="27"/>
    </row>
    <row r="258" spans="12:12" ht="12.75" customHeight="1" x14ac:dyDescent="0.5">
      <c r="L258" s="27"/>
    </row>
    <row r="259" spans="12:12" ht="12.75" customHeight="1" x14ac:dyDescent="0.5">
      <c r="L259" s="27"/>
    </row>
    <row r="260" spans="12:12" ht="12.75" customHeight="1" x14ac:dyDescent="0.5">
      <c r="L260" s="27"/>
    </row>
    <row r="261" spans="12:12" ht="12.75" customHeight="1" x14ac:dyDescent="0.5">
      <c r="L261" s="27"/>
    </row>
    <row r="262" spans="12:12" ht="12.75" customHeight="1" x14ac:dyDescent="0.5">
      <c r="L262" s="27"/>
    </row>
    <row r="263" spans="12:12" ht="12.75" customHeight="1" x14ac:dyDescent="0.5">
      <c r="L263" s="27"/>
    </row>
    <row r="264" spans="12:12" ht="12.75" customHeight="1" x14ac:dyDescent="0.5">
      <c r="L264" s="27"/>
    </row>
    <row r="265" spans="12:12" ht="12.75" customHeight="1" x14ac:dyDescent="0.5">
      <c r="L265" s="27"/>
    </row>
    <row r="266" spans="12:12" ht="12.75" customHeight="1" x14ac:dyDescent="0.5">
      <c r="L266" s="27"/>
    </row>
    <row r="267" spans="12:12" ht="12.75" customHeight="1" x14ac:dyDescent="0.5">
      <c r="L267" s="27"/>
    </row>
    <row r="268" spans="12:12" ht="12.75" customHeight="1" x14ac:dyDescent="0.5">
      <c r="L268" s="27"/>
    </row>
    <row r="269" spans="12:12" ht="12.75" customHeight="1" x14ac:dyDescent="0.5">
      <c r="L269" s="27"/>
    </row>
    <row r="270" spans="12:12" ht="12.75" customHeight="1" x14ac:dyDescent="0.5">
      <c r="L270" s="27"/>
    </row>
    <row r="271" spans="12:12" ht="12.75" customHeight="1" x14ac:dyDescent="0.5">
      <c r="L271" s="27"/>
    </row>
    <row r="272" spans="12:12" ht="12.75" customHeight="1" x14ac:dyDescent="0.5">
      <c r="L272" s="27"/>
    </row>
    <row r="273" spans="12:12" ht="12.75" customHeight="1" x14ac:dyDescent="0.5">
      <c r="L273" s="27"/>
    </row>
    <row r="274" spans="12:12" ht="12.75" customHeight="1" x14ac:dyDescent="0.5">
      <c r="L274" s="27"/>
    </row>
    <row r="275" spans="12:12" ht="12.75" customHeight="1" x14ac:dyDescent="0.5">
      <c r="L275" s="27"/>
    </row>
    <row r="276" spans="12:12" ht="12.75" customHeight="1" x14ac:dyDescent="0.5">
      <c r="L276" s="27"/>
    </row>
    <row r="277" spans="12:12" ht="12.75" customHeight="1" x14ac:dyDescent="0.5">
      <c r="L277" s="27"/>
    </row>
    <row r="278" spans="12:12" ht="12.75" customHeight="1" x14ac:dyDescent="0.5">
      <c r="L278" s="27"/>
    </row>
    <row r="279" spans="12:12" ht="12.75" customHeight="1" x14ac:dyDescent="0.5">
      <c r="L279" s="27"/>
    </row>
    <row r="280" spans="12:12" ht="12.75" customHeight="1" x14ac:dyDescent="0.5">
      <c r="L280" s="27"/>
    </row>
    <row r="281" spans="12:12" ht="12.75" customHeight="1" x14ac:dyDescent="0.5">
      <c r="L281" s="27"/>
    </row>
    <row r="282" spans="12:12" ht="12.75" customHeight="1" x14ac:dyDescent="0.5">
      <c r="L282" s="27"/>
    </row>
    <row r="283" spans="12:12" ht="12.75" customHeight="1" x14ac:dyDescent="0.5">
      <c r="L283" s="27"/>
    </row>
    <row r="284" spans="12:12" ht="12.75" customHeight="1" x14ac:dyDescent="0.5">
      <c r="L284" s="27"/>
    </row>
    <row r="285" spans="12:12" ht="12.75" customHeight="1" x14ac:dyDescent="0.5">
      <c r="L285" s="27"/>
    </row>
    <row r="286" spans="12:12" ht="12.75" customHeight="1" x14ac:dyDescent="0.5">
      <c r="L286" s="27"/>
    </row>
    <row r="287" spans="12:12" ht="12.75" customHeight="1" x14ac:dyDescent="0.5">
      <c r="L287" s="27"/>
    </row>
    <row r="288" spans="12:12" ht="12.75" customHeight="1" x14ac:dyDescent="0.5">
      <c r="L288" s="27"/>
    </row>
    <row r="289" spans="12:12" ht="12.75" customHeight="1" x14ac:dyDescent="0.5">
      <c r="L289" s="27"/>
    </row>
    <row r="290" spans="12:12" ht="12.75" customHeight="1" x14ac:dyDescent="0.5">
      <c r="L290" s="27"/>
    </row>
    <row r="291" spans="12:12" ht="12.75" customHeight="1" x14ac:dyDescent="0.5">
      <c r="L291" s="27"/>
    </row>
    <row r="292" spans="12:12" ht="12.75" customHeight="1" x14ac:dyDescent="0.5">
      <c r="L292" s="27"/>
    </row>
    <row r="293" spans="12:12" ht="12.75" customHeight="1" x14ac:dyDescent="0.5">
      <c r="L293" s="27"/>
    </row>
    <row r="294" spans="12:12" ht="12.75" customHeight="1" x14ac:dyDescent="0.5">
      <c r="L294" s="27"/>
    </row>
    <row r="295" spans="12:12" ht="12.75" customHeight="1" x14ac:dyDescent="0.5">
      <c r="L295" s="27"/>
    </row>
    <row r="296" spans="12:12" ht="12.75" customHeight="1" x14ac:dyDescent="0.5">
      <c r="L296" s="27"/>
    </row>
    <row r="297" spans="12:12" ht="12.75" customHeight="1" x14ac:dyDescent="0.5">
      <c r="L297" s="27"/>
    </row>
    <row r="298" spans="12:12" ht="12.75" customHeight="1" x14ac:dyDescent="0.5">
      <c r="L298" s="27"/>
    </row>
    <row r="299" spans="12:12" ht="12.75" customHeight="1" x14ac:dyDescent="0.5">
      <c r="L299" s="27"/>
    </row>
    <row r="300" spans="12:12" ht="12.75" customHeight="1" x14ac:dyDescent="0.5">
      <c r="L300" s="27"/>
    </row>
    <row r="301" spans="12:12" ht="12.75" customHeight="1" x14ac:dyDescent="0.5">
      <c r="L301" s="27"/>
    </row>
    <row r="302" spans="12:12" ht="12.75" customHeight="1" x14ac:dyDescent="0.5">
      <c r="L302" s="27"/>
    </row>
    <row r="303" spans="12:12" ht="12.75" customHeight="1" x14ac:dyDescent="0.5">
      <c r="L303" s="27"/>
    </row>
    <row r="304" spans="12:12" ht="12.75" customHeight="1" x14ac:dyDescent="0.5">
      <c r="L304" s="27"/>
    </row>
    <row r="305" spans="12:12" ht="12.75" customHeight="1" x14ac:dyDescent="0.5">
      <c r="L305" s="27"/>
    </row>
    <row r="306" spans="12:12" ht="12.75" customHeight="1" x14ac:dyDescent="0.5">
      <c r="L306" s="27"/>
    </row>
    <row r="307" spans="12:12" ht="12.75" customHeight="1" x14ac:dyDescent="0.5">
      <c r="L307" s="27"/>
    </row>
    <row r="308" spans="12:12" ht="12.75" customHeight="1" x14ac:dyDescent="0.5">
      <c r="L308" s="27"/>
    </row>
    <row r="309" spans="12:12" ht="12.75" customHeight="1" x14ac:dyDescent="0.5">
      <c r="L309" s="27"/>
    </row>
    <row r="310" spans="12:12" ht="12.75" customHeight="1" x14ac:dyDescent="0.5">
      <c r="L310" s="27"/>
    </row>
    <row r="311" spans="12:12" ht="12.75" customHeight="1" x14ac:dyDescent="0.5">
      <c r="L311" s="27"/>
    </row>
    <row r="312" spans="12:12" ht="12.75" customHeight="1" x14ac:dyDescent="0.5">
      <c r="L312" s="27"/>
    </row>
    <row r="313" spans="12:12" ht="12.75" customHeight="1" x14ac:dyDescent="0.5">
      <c r="L313" s="27"/>
    </row>
    <row r="314" spans="12:12" ht="12.75" customHeight="1" x14ac:dyDescent="0.5">
      <c r="L314" s="27"/>
    </row>
    <row r="315" spans="12:12" ht="12.75" customHeight="1" x14ac:dyDescent="0.5">
      <c r="L315" s="27"/>
    </row>
    <row r="316" spans="12:12" ht="12.75" customHeight="1" x14ac:dyDescent="0.5">
      <c r="L316" s="27"/>
    </row>
    <row r="317" spans="12:12" ht="12.75" customHeight="1" x14ac:dyDescent="0.5">
      <c r="L317" s="27"/>
    </row>
    <row r="318" spans="12:12" ht="12.75" customHeight="1" x14ac:dyDescent="0.5">
      <c r="L318" s="27"/>
    </row>
    <row r="319" spans="12:12" ht="12.75" customHeight="1" x14ac:dyDescent="0.5">
      <c r="L319" s="27"/>
    </row>
    <row r="320" spans="12:12" ht="12.75" customHeight="1" x14ac:dyDescent="0.5">
      <c r="L320" s="27"/>
    </row>
    <row r="321" spans="12:12" ht="12.75" customHeight="1" x14ac:dyDescent="0.5">
      <c r="L321" s="27"/>
    </row>
    <row r="322" spans="12:12" ht="12.75" customHeight="1" x14ac:dyDescent="0.5">
      <c r="L322" s="27"/>
    </row>
    <row r="323" spans="12:12" ht="12.75" customHeight="1" x14ac:dyDescent="0.5">
      <c r="L323" s="27"/>
    </row>
    <row r="324" spans="12:12" ht="12.75" customHeight="1" x14ac:dyDescent="0.5">
      <c r="L324" s="27"/>
    </row>
    <row r="325" spans="12:12" ht="12.75" customHeight="1" x14ac:dyDescent="0.5">
      <c r="L325" s="27"/>
    </row>
    <row r="326" spans="12:12" ht="12.75" customHeight="1" x14ac:dyDescent="0.5">
      <c r="L326" s="27"/>
    </row>
    <row r="327" spans="12:12" ht="12.75" customHeight="1" x14ac:dyDescent="0.5">
      <c r="L327" s="27"/>
    </row>
    <row r="328" spans="12:12" ht="12.75" customHeight="1" x14ac:dyDescent="0.5">
      <c r="L328" s="27"/>
    </row>
    <row r="329" spans="12:12" ht="12.75" customHeight="1" x14ac:dyDescent="0.5">
      <c r="L329" s="27"/>
    </row>
    <row r="330" spans="12:12" ht="12.75" customHeight="1" x14ac:dyDescent="0.5">
      <c r="L330" s="27"/>
    </row>
    <row r="331" spans="12:12" ht="12.75" customHeight="1" x14ac:dyDescent="0.5">
      <c r="L331" s="27"/>
    </row>
    <row r="332" spans="12:12" ht="12.75" customHeight="1" x14ac:dyDescent="0.5">
      <c r="L332" s="27"/>
    </row>
    <row r="333" spans="12:12" ht="12.75" customHeight="1" x14ac:dyDescent="0.5">
      <c r="L333" s="27"/>
    </row>
    <row r="334" spans="12:12" ht="12.75" customHeight="1" x14ac:dyDescent="0.5">
      <c r="L334" s="27"/>
    </row>
    <row r="335" spans="12:12" ht="12.75" customHeight="1" x14ac:dyDescent="0.5">
      <c r="L335" s="27"/>
    </row>
    <row r="336" spans="12:12" ht="12.75" customHeight="1" x14ac:dyDescent="0.5">
      <c r="L336" s="27"/>
    </row>
    <row r="337" spans="12:12" ht="12.75" customHeight="1" x14ac:dyDescent="0.5">
      <c r="L337" s="27"/>
    </row>
    <row r="338" spans="12:12" ht="12.75" customHeight="1" x14ac:dyDescent="0.5">
      <c r="L338" s="27"/>
    </row>
    <row r="339" spans="12:12" ht="12.75" customHeight="1" x14ac:dyDescent="0.5">
      <c r="L339" s="27"/>
    </row>
    <row r="340" spans="12:12" ht="12.75" customHeight="1" x14ac:dyDescent="0.5">
      <c r="L340" s="27"/>
    </row>
    <row r="341" spans="12:12" ht="12.75" customHeight="1" x14ac:dyDescent="0.5">
      <c r="L341" s="27"/>
    </row>
    <row r="342" spans="12:12" ht="12.75" customHeight="1" x14ac:dyDescent="0.5">
      <c r="L342" s="27"/>
    </row>
    <row r="343" spans="12:12" ht="12.75" customHeight="1" x14ac:dyDescent="0.5">
      <c r="L343" s="27"/>
    </row>
    <row r="344" spans="12:12" ht="12.75" customHeight="1" x14ac:dyDescent="0.5">
      <c r="L344" s="27"/>
    </row>
    <row r="345" spans="12:12" ht="12.75" customHeight="1" x14ac:dyDescent="0.5">
      <c r="L345" s="27"/>
    </row>
    <row r="346" spans="12:12" ht="12.75" customHeight="1" x14ac:dyDescent="0.5">
      <c r="L346" s="27"/>
    </row>
    <row r="347" spans="12:12" ht="12.75" customHeight="1" x14ac:dyDescent="0.5">
      <c r="L347" s="27"/>
    </row>
    <row r="348" spans="12:12" ht="12.75" customHeight="1" x14ac:dyDescent="0.5">
      <c r="L348" s="27"/>
    </row>
    <row r="349" spans="12:12" ht="12.75" customHeight="1" x14ac:dyDescent="0.5">
      <c r="L349" s="27"/>
    </row>
    <row r="350" spans="12:12" ht="12.75" customHeight="1" x14ac:dyDescent="0.5">
      <c r="L350" s="27"/>
    </row>
    <row r="351" spans="12:12" ht="12.75" customHeight="1" x14ac:dyDescent="0.5">
      <c r="L351" s="27"/>
    </row>
    <row r="352" spans="12:12" ht="12.75" customHeight="1" x14ac:dyDescent="0.5">
      <c r="L352" s="27"/>
    </row>
    <row r="353" spans="12:12" ht="12.75" customHeight="1" x14ac:dyDescent="0.5">
      <c r="L353" s="27"/>
    </row>
    <row r="354" spans="12:12" ht="12.75" customHeight="1" x14ac:dyDescent="0.5">
      <c r="L354" s="27"/>
    </row>
    <row r="355" spans="12:12" ht="12.75" customHeight="1" x14ac:dyDescent="0.5">
      <c r="L355" s="27"/>
    </row>
    <row r="356" spans="12:12" ht="12.75" customHeight="1" x14ac:dyDescent="0.5">
      <c r="L356" s="27"/>
    </row>
    <row r="357" spans="12:12" ht="12.75" customHeight="1" x14ac:dyDescent="0.5">
      <c r="L357" s="27"/>
    </row>
    <row r="358" spans="12:12" ht="12.75" customHeight="1" x14ac:dyDescent="0.5">
      <c r="L358" s="27"/>
    </row>
    <row r="359" spans="12:12" ht="12.75" customHeight="1" x14ac:dyDescent="0.5">
      <c r="L359" s="27"/>
    </row>
    <row r="360" spans="12:12" ht="12.75" customHeight="1" x14ac:dyDescent="0.5">
      <c r="L360" s="27"/>
    </row>
    <row r="361" spans="12:12" ht="12.75" customHeight="1" x14ac:dyDescent="0.5">
      <c r="L361" s="27"/>
    </row>
    <row r="362" spans="12:12" ht="12.75" customHeight="1" x14ac:dyDescent="0.5">
      <c r="L362" s="27"/>
    </row>
    <row r="363" spans="12:12" ht="12.75" customHeight="1" x14ac:dyDescent="0.5">
      <c r="L363" s="27"/>
    </row>
    <row r="364" spans="12:12" ht="12.75" customHeight="1" x14ac:dyDescent="0.5">
      <c r="L364" s="27"/>
    </row>
    <row r="365" spans="12:12" ht="12.75" customHeight="1" x14ac:dyDescent="0.5">
      <c r="L365" s="27"/>
    </row>
    <row r="366" spans="12:12" ht="12.75" customHeight="1" x14ac:dyDescent="0.5">
      <c r="L366" s="27"/>
    </row>
    <row r="367" spans="12:12" ht="12.75" customHeight="1" x14ac:dyDescent="0.5">
      <c r="L367" s="27"/>
    </row>
    <row r="368" spans="12:12" ht="12.75" customHeight="1" x14ac:dyDescent="0.5">
      <c r="L368" s="27"/>
    </row>
    <row r="369" spans="12:12" ht="12.75" customHeight="1" x14ac:dyDescent="0.5">
      <c r="L369" s="27"/>
    </row>
    <row r="370" spans="12:12" ht="12.75" customHeight="1" x14ac:dyDescent="0.5">
      <c r="L370" s="27"/>
    </row>
    <row r="371" spans="12:12" ht="12.75" customHeight="1" x14ac:dyDescent="0.5">
      <c r="L371" s="27"/>
    </row>
    <row r="372" spans="12:12" ht="12.75" customHeight="1" x14ac:dyDescent="0.5">
      <c r="L372" s="27"/>
    </row>
    <row r="373" spans="12:12" ht="12.75" customHeight="1" x14ac:dyDescent="0.5">
      <c r="L373" s="27"/>
    </row>
    <row r="374" spans="12:12" ht="12.75" customHeight="1" x14ac:dyDescent="0.5">
      <c r="L374" s="27"/>
    </row>
    <row r="375" spans="12:12" ht="12.75" customHeight="1" x14ac:dyDescent="0.5">
      <c r="L375" s="27"/>
    </row>
    <row r="376" spans="12:12" ht="12.75" customHeight="1" x14ac:dyDescent="0.5">
      <c r="L376" s="27"/>
    </row>
    <row r="377" spans="12:12" ht="12.75" customHeight="1" x14ac:dyDescent="0.5">
      <c r="L377" s="27"/>
    </row>
    <row r="378" spans="12:12" ht="12.75" customHeight="1" x14ac:dyDescent="0.5">
      <c r="L378" s="27"/>
    </row>
    <row r="379" spans="12:12" ht="12.75" customHeight="1" x14ac:dyDescent="0.5">
      <c r="L379" s="27"/>
    </row>
    <row r="380" spans="12:12" ht="12.75" customHeight="1" x14ac:dyDescent="0.5">
      <c r="L380" s="27"/>
    </row>
    <row r="381" spans="12:12" ht="12.75" customHeight="1" x14ac:dyDescent="0.5">
      <c r="L381" s="27"/>
    </row>
    <row r="382" spans="12:12" ht="12.75" customHeight="1" x14ac:dyDescent="0.5">
      <c r="L382" s="27"/>
    </row>
    <row r="383" spans="12:12" ht="12.75" customHeight="1" x14ac:dyDescent="0.5">
      <c r="L383" s="27"/>
    </row>
    <row r="384" spans="12:12" ht="12.75" customHeight="1" x14ac:dyDescent="0.5">
      <c r="L384" s="27"/>
    </row>
    <row r="385" spans="12:12" ht="12.75" customHeight="1" x14ac:dyDescent="0.5">
      <c r="L385" s="27"/>
    </row>
    <row r="386" spans="12:12" ht="12.75" customHeight="1" x14ac:dyDescent="0.5">
      <c r="L386" s="27"/>
    </row>
    <row r="387" spans="12:12" ht="12.75" customHeight="1" x14ac:dyDescent="0.5">
      <c r="L387" s="27"/>
    </row>
    <row r="388" spans="12:12" ht="12.75" customHeight="1" x14ac:dyDescent="0.5">
      <c r="L388" s="27"/>
    </row>
    <row r="389" spans="12:12" ht="12.75" customHeight="1" x14ac:dyDescent="0.5">
      <c r="L389" s="27"/>
    </row>
    <row r="390" spans="12:12" ht="12.75" customHeight="1" x14ac:dyDescent="0.5">
      <c r="L390" s="27"/>
    </row>
    <row r="391" spans="12:12" ht="12.75" customHeight="1" x14ac:dyDescent="0.5">
      <c r="L391" s="27"/>
    </row>
    <row r="392" spans="12:12" ht="12.75" customHeight="1" x14ac:dyDescent="0.5">
      <c r="L392" s="27"/>
    </row>
    <row r="393" spans="12:12" ht="12.75" customHeight="1" x14ac:dyDescent="0.5">
      <c r="L393" s="27"/>
    </row>
    <row r="394" spans="12:12" ht="12.75" customHeight="1" x14ac:dyDescent="0.5">
      <c r="L394" s="27"/>
    </row>
    <row r="395" spans="12:12" ht="12.75" customHeight="1" x14ac:dyDescent="0.5">
      <c r="L395" s="27"/>
    </row>
    <row r="396" spans="12:12" ht="12.75" customHeight="1" x14ac:dyDescent="0.5">
      <c r="L396" s="27"/>
    </row>
    <row r="397" spans="12:12" ht="12.75" customHeight="1" x14ac:dyDescent="0.5">
      <c r="L397" s="27"/>
    </row>
    <row r="398" spans="12:12" ht="12.75" customHeight="1" x14ac:dyDescent="0.5">
      <c r="L398" s="27"/>
    </row>
    <row r="399" spans="12:12" ht="12.75" customHeight="1" x14ac:dyDescent="0.5">
      <c r="L399" s="27"/>
    </row>
    <row r="400" spans="12:12" ht="12.75" customHeight="1" x14ac:dyDescent="0.5">
      <c r="L400" s="27"/>
    </row>
    <row r="401" spans="12:12" ht="12.75" customHeight="1" x14ac:dyDescent="0.5">
      <c r="L401" s="27"/>
    </row>
    <row r="402" spans="12:12" ht="12.75" customHeight="1" x14ac:dyDescent="0.5">
      <c r="L402" s="27"/>
    </row>
    <row r="403" spans="12:12" ht="12.75" customHeight="1" x14ac:dyDescent="0.5">
      <c r="L403" s="27"/>
    </row>
    <row r="404" spans="12:12" ht="12.75" customHeight="1" x14ac:dyDescent="0.5">
      <c r="L404" s="27"/>
    </row>
    <row r="405" spans="12:12" ht="12.75" customHeight="1" x14ac:dyDescent="0.5">
      <c r="L405" s="27"/>
    </row>
    <row r="406" spans="12:12" ht="12.75" customHeight="1" x14ac:dyDescent="0.5">
      <c r="L406" s="27"/>
    </row>
    <row r="407" spans="12:12" ht="12.75" customHeight="1" x14ac:dyDescent="0.5">
      <c r="L407" s="27"/>
    </row>
    <row r="408" spans="12:12" ht="12.75" customHeight="1" x14ac:dyDescent="0.5">
      <c r="L408" s="27"/>
    </row>
    <row r="409" spans="12:12" ht="12.75" customHeight="1" x14ac:dyDescent="0.5">
      <c r="L409" s="27"/>
    </row>
    <row r="410" spans="12:12" ht="12.75" customHeight="1" x14ac:dyDescent="0.5">
      <c r="L410" s="27"/>
    </row>
    <row r="411" spans="12:12" ht="12.75" customHeight="1" x14ac:dyDescent="0.5">
      <c r="L411" s="27"/>
    </row>
    <row r="412" spans="12:12" ht="12.75" customHeight="1" x14ac:dyDescent="0.5">
      <c r="L412" s="27"/>
    </row>
    <row r="413" spans="12:12" ht="12.75" customHeight="1" x14ac:dyDescent="0.5">
      <c r="L413" s="27"/>
    </row>
    <row r="414" spans="12:12" ht="12.75" customHeight="1" x14ac:dyDescent="0.5">
      <c r="L414" s="27"/>
    </row>
    <row r="415" spans="12:12" ht="12.75" customHeight="1" x14ac:dyDescent="0.5">
      <c r="L415" s="27"/>
    </row>
    <row r="416" spans="12:12" ht="12.75" customHeight="1" x14ac:dyDescent="0.5">
      <c r="L416" s="27"/>
    </row>
    <row r="417" spans="12:12" ht="12.75" customHeight="1" x14ac:dyDescent="0.5">
      <c r="L417" s="27"/>
    </row>
    <row r="418" spans="12:12" ht="12.75" customHeight="1" x14ac:dyDescent="0.5">
      <c r="L418" s="27"/>
    </row>
    <row r="419" spans="12:12" ht="12.75" customHeight="1" x14ac:dyDescent="0.5">
      <c r="L419" s="27"/>
    </row>
    <row r="420" spans="12:12" ht="12.75" customHeight="1" x14ac:dyDescent="0.5">
      <c r="L420" s="27"/>
    </row>
    <row r="421" spans="12:12" ht="12.75" customHeight="1" x14ac:dyDescent="0.5">
      <c r="L421" s="27"/>
    </row>
    <row r="422" spans="12:12" ht="12.75" customHeight="1" x14ac:dyDescent="0.5">
      <c r="L422" s="27"/>
    </row>
    <row r="423" spans="12:12" ht="12.75" customHeight="1" x14ac:dyDescent="0.5">
      <c r="L423" s="27"/>
    </row>
    <row r="424" spans="12:12" ht="12.75" customHeight="1" x14ac:dyDescent="0.5">
      <c r="L424" s="27"/>
    </row>
    <row r="425" spans="12:12" ht="12.75" customHeight="1" x14ac:dyDescent="0.5">
      <c r="L425" s="27"/>
    </row>
    <row r="426" spans="12:12" ht="12.75" customHeight="1" x14ac:dyDescent="0.5">
      <c r="L426" s="27"/>
    </row>
    <row r="427" spans="12:12" ht="12.75" customHeight="1" x14ac:dyDescent="0.5">
      <c r="L427" s="27"/>
    </row>
    <row r="428" spans="12:12" ht="12.75" customHeight="1" x14ac:dyDescent="0.5">
      <c r="L428" s="27"/>
    </row>
    <row r="429" spans="12:12" ht="12.75" customHeight="1" x14ac:dyDescent="0.5">
      <c r="L429" s="27"/>
    </row>
    <row r="430" spans="12:12" ht="12.75" customHeight="1" x14ac:dyDescent="0.5">
      <c r="L430" s="27"/>
    </row>
    <row r="431" spans="12:12" ht="12.75" customHeight="1" x14ac:dyDescent="0.5">
      <c r="L431" s="27"/>
    </row>
    <row r="432" spans="12:12" ht="12.75" customHeight="1" x14ac:dyDescent="0.5">
      <c r="L432" s="27"/>
    </row>
    <row r="433" spans="12:12" ht="12.75" customHeight="1" x14ac:dyDescent="0.5">
      <c r="L433" s="27"/>
    </row>
    <row r="434" spans="12:12" ht="12.75" customHeight="1" x14ac:dyDescent="0.5">
      <c r="L434" s="27"/>
    </row>
    <row r="435" spans="12:12" ht="12.75" customHeight="1" x14ac:dyDescent="0.5">
      <c r="L435" s="27"/>
    </row>
    <row r="436" spans="12:12" ht="12.75" customHeight="1" x14ac:dyDescent="0.5">
      <c r="L436" s="27"/>
    </row>
    <row r="437" spans="12:12" ht="12.75" customHeight="1" x14ac:dyDescent="0.5">
      <c r="L437" s="27"/>
    </row>
    <row r="438" spans="12:12" ht="12.75" customHeight="1" x14ac:dyDescent="0.5">
      <c r="L438" s="27"/>
    </row>
    <row r="439" spans="12:12" ht="12.75" customHeight="1" x14ac:dyDescent="0.5">
      <c r="L439" s="27"/>
    </row>
    <row r="440" spans="12:12" ht="12.75" customHeight="1" x14ac:dyDescent="0.5">
      <c r="L440" s="27"/>
    </row>
    <row r="441" spans="12:12" ht="12.75" customHeight="1" x14ac:dyDescent="0.5">
      <c r="L441" s="27"/>
    </row>
    <row r="442" spans="12:12" ht="12.75" customHeight="1" x14ac:dyDescent="0.5">
      <c r="L442" s="27"/>
    </row>
    <row r="443" spans="12:12" ht="12.75" customHeight="1" x14ac:dyDescent="0.5">
      <c r="L443" s="27"/>
    </row>
    <row r="444" spans="12:12" ht="12.75" customHeight="1" x14ac:dyDescent="0.5">
      <c r="L444" s="27"/>
    </row>
    <row r="445" spans="12:12" ht="12.75" customHeight="1" x14ac:dyDescent="0.5">
      <c r="L445" s="27"/>
    </row>
    <row r="446" spans="12:12" ht="12.75" customHeight="1" x14ac:dyDescent="0.5">
      <c r="L446" s="27"/>
    </row>
    <row r="447" spans="12:12" ht="12.75" customHeight="1" x14ac:dyDescent="0.5">
      <c r="L447" s="27"/>
    </row>
    <row r="448" spans="12:12" ht="12.75" customHeight="1" x14ac:dyDescent="0.5">
      <c r="L448" s="27"/>
    </row>
    <row r="449" spans="12:12" ht="12.75" customHeight="1" x14ac:dyDescent="0.5">
      <c r="L449" s="27"/>
    </row>
    <row r="450" spans="12:12" ht="12.75" customHeight="1" x14ac:dyDescent="0.5">
      <c r="L450" s="27"/>
    </row>
    <row r="451" spans="12:12" ht="12.75" customHeight="1" x14ac:dyDescent="0.5">
      <c r="L451" s="27"/>
    </row>
    <row r="452" spans="12:12" ht="12.75" customHeight="1" x14ac:dyDescent="0.5">
      <c r="L452" s="27"/>
    </row>
    <row r="453" spans="12:12" ht="12.75" customHeight="1" x14ac:dyDescent="0.5">
      <c r="L453" s="27"/>
    </row>
    <row r="454" spans="12:12" ht="12.75" customHeight="1" x14ac:dyDescent="0.5">
      <c r="L454" s="27"/>
    </row>
    <row r="455" spans="12:12" ht="12.75" customHeight="1" x14ac:dyDescent="0.5">
      <c r="L455" s="27"/>
    </row>
    <row r="456" spans="12:12" ht="12.75" customHeight="1" x14ac:dyDescent="0.5">
      <c r="L456" s="27"/>
    </row>
    <row r="457" spans="12:12" ht="12.75" customHeight="1" x14ac:dyDescent="0.5">
      <c r="L457" s="27"/>
    </row>
    <row r="458" spans="12:12" ht="12.75" customHeight="1" x14ac:dyDescent="0.5">
      <c r="L458" s="27"/>
    </row>
    <row r="459" spans="12:12" ht="12.75" customHeight="1" x14ac:dyDescent="0.5">
      <c r="L459" s="27"/>
    </row>
    <row r="460" spans="12:12" ht="12.75" customHeight="1" x14ac:dyDescent="0.5">
      <c r="L460" s="27"/>
    </row>
    <row r="461" spans="12:12" ht="12.75" customHeight="1" x14ac:dyDescent="0.5">
      <c r="L461" s="27"/>
    </row>
    <row r="462" spans="12:12" ht="12.75" customHeight="1" x14ac:dyDescent="0.5">
      <c r="L462" s="27"/>
    </row>
    <row r="463" spans="12:12" ht="12.75" customHeight="1" x14ac:dyDescent="0.5">
      <c r="L463" s="27"/>
    </row>
    <row r="464" spans="12:12" ht="12.75" customHeight="1" x14ac:dyDescent="0.5">
      <c r="L464" s="27"/>
    </row>
    <row r="465" spans="12:12" ht="12.75" customHeight="1" x14ac:dyDescent="0.5">
      <c r="L465" s="27"/>
    </row>
    <row r="466" spans="12:12" ht="12.75" customHeight="1" x14ac:dyDescent="0.5">
      <c r="L466" s="27"/>
    </row>
    <row r="467" spans="12:12" ht="12.75" customHeight="1" x14ac:dyDescent="0.5">
      <c r="L467" s="27"/>
    </row>
    <row r="468" spans="12:12" ht="12.75" customHeight="1" x14ac:dyDescent="0.5">
      <c r="L468" s="27"/>
    </row>
    <row r="469" spans="12:12" ht="12.75" customHeight="1" x14ac:dyDescent="0.5">
      <c r="L469" s="27"/>
    </row>
    <row r="470" spans="12:12" ht="12.75" customHeight="1" x14ac:dyDescent="0.5">
      <c r="L470" s="27"/>
    </row>
    <row r="471" spans="12:12" ht="12.75" customHeight="1" x14ac:dyDescent="0.5">
      <c r="L471" s="27"/>
    </row>
    <row r="472" spans="12:12" ht="12.75" customHeight="1" x14ac:dyDescent="0.5">
      <c r="L472" s="27"/>
    </row>
    <row r="473" spans="12:12" ht="12.75" customHeight="1" x14ac:dyDescent="0.5">
      <c r="L473" s="27"/>
    </row>
    <row r="474" spans="12:12" ht="12.75" customHeight="1" x14ac:dyDescent="0.5">
      <c r="L474" s="27"/>
    </row>
    <row r="475" spans="12:12" ht="12.75" customHeight="1" x14ac:dyDescent="0.5">
      <c r="L475" s="27"/>
    </row>
    <row r="476" spans="12:12" ht="12.75" customHeight="1" x14ac:dyDescent="0.5">
      <c r="L476" s="27"/>
    </row>
    <row r="477" spans="12:12" ht="12.75" customHeight="1" x14ac:dyDescent="0.5">
      <c r="L477" s="27"/>
    </row>
    <row r="478" spans="12:12" ht="12.75" customHeight="1" x14ac:dyDescent="0.5">
      <c r="L478" s="27"/>
    </row>
    <row r="479" spans="12:12" ht="12.75" customHeight="1" x14ac:dyDescent="0.5">
      <c r="L479" s="27"/>
    </row>
    <row r="480" spans="12:12" ht="12.75" customHeight="1" x14ac:dyDescent="0.5">
      <c r="L480" s="27"/>
    </row>
    <row r="481" spans="12:12" ht="12.75" customHeight="1" x14ac:dyDescent="0.5">
      <c r="L481" s="27"/>
    </row>
    <row r="482" spans="12:12" ht="12.75" customHeight="1" x14ac:dyDescent="0.5">
      <c r="L482" s="27"/>
    </row>
    <row r="483" spans="12:12" ht="12.75" customHeight="1" x14ac:dyDescent="0.5">
      <c r="L483" s="27"/>
    </row>
    <row r="484" spans="12:12" ht="12.75" customHeight="1" x14ac:dyDescent="0.5">
      <c r="L484" s="27"/>
    </row>
    <row r="485" spans="12:12" ht="12.75" customHeight="1" x14ac:dyDescent="0.5">
      <c r="L485" s="27"/>
    </row>
    <row r="486" spans="12:12" ht="12.75" customHeight="1" x14ac:dyDescent="0.5">
      <c r="L486" s="27"/>
    </row>
    <row r="487" spans="12:12" ht="12.75" customHeight="1" x14ac:dyDescent="0.5">
      <c r="L487" s="27"/>
    </row>
    <row r="488" spans="12:12" ht="12.75" customHeight="1" x14ac:dyDescent="0.5">
      <c r="L488" s="27"/>
    </row>
    <row r="489" spans="12:12" ht="12.75" customHeight="1" x14ac:dyDescent="0.5">
      <c r="L489" s="27"/>
    </row>
    <row r="490" spans="12:12" ht="12.75" customHeight="1" x14ac:dyDescent="0.5">
      <c r="L490" s="27"/>
    </row>
    <row r="491" spans="12:12" ht="12.75" customHeight="1" x14ac:dyDescent="0.5">
      <c r="L491" s="27"/>
    </row>
    <row r="492" spans="12:12" ht="12.75" customHeight="1" x14ac:dyDescent="0.5">
      <c r="L492" s="27"/>
    </row>
    <row r="493" spans="12:12" ht="12.75" customHeight="1" x14ac:dyDescent="0.5">
      <c r="L493" s="27"/>
    </row>
    <row r="494" spans="12:12" ht="12.75" customHeight="1" x14ac:dyDescent="0.5">
      <c r="L494" s="27"/>
    </row>
    <row r="495" spans="12:12" ht="12.75" customHeight="1" x14ac:dyDescent="0.5">
      <c r="L495" s="27"/>
    </row>
    <row r="496" spans="12:12" ht="12.75" customHeight="1" x14ac:dyDescent="0.5">
      <c r="L496" s="27"/>
    </row>
    <row r="497" spans="12:12" ht="12.75" customHeight="1" x14ac:dyDescent="0.5">
      <c r="L497" s="27"/>
    </row>
    <row r="498" spans="12:12" ht="12.75" customHeight="1" x14ac:dyDescent="0.5">
      <c r="L498" s="27"/>
    </row>
    <row r="499" spans="12:12" ht="12.75" customHeight="1" x14ac:dyDescent="0.5">
      <c r="L499" s="27"/>
    </row>
    <row r="500" spans="12:12" ht="12.75" customHeight="1" x14ac:dyDescent="0.5">
      <c r="L500" s="27"/>
    </row>
    <row r="501" spans="12:12" ht="12.75" customHeight="1" x14ac:dyDescent="0.5">
      <c r="L501" s="27"/>
    </row>
    <row r="502" spans="12:12" ht="12.75" customHeight="1" x14ac:dyDescent="0.5">
      <c r="L502" s="27"/>
    </row>
    <row r="503" spans="12:12" ht="12.75" customHeight="1" x14ac:dyDescent="0.5">
      <c r="L503" s="27"/>
    </row>
    <row r="504" spans="12:12" ht="12.75" customHeight="1" x14ac:dyDescent="0.5">
      <c r="L504" s="27"/>
    </row>
    <row r="505" spans="12:12" ht="12.75" customHeight="1" x14ac:dyDescent="0.5">
      <c r="L505" s="27"/>
    </row>
    <row r="506" spans="12:12" ht="12.75" customHeight="1" x14ac:dyDescent="0.5">
      <c r="L506" s="27"/>
    </row>
    <row r="507" spans="12:12" ht="12.75" customHeight="1" x14ac:dyDescent="0.5">
      <c r="L507" s="27"/>
    </row>
    <row r="508" spans="12:12" ht="12.75" customHeight="1" x14ac:dyDescent="0.5">
      <c r="L508" s="27"/>
    </row>
    <row r="509" spans="12:12" ht="12.75" customHeight="1" x14ac:dyDescent="0.5">
      <c r="L509" s="27"/>
    </row>
    <row r="510" spans="12:12" ht="12.75" customHeight="1" x14ac:dyDescent="0.5">
      <c r="L510" s="27"/>
    </row>
    <row r="511" spans="12:12" ht="12.75" customHeight="1" x14ac:dyDescent="0.5">
      <c r="L511" s="27"/>
    </row>
    <row r="512" spans="12:12" ht="12.75" customHeight="1" x14ac:dyDescent="0.5">
      <c r="L512" s="27"/>
    </row>
    <row r="513" spans="12:12" ht="12.75" customHeight="1" x14ac:dyDescent="0.5">
      <c r="L513" s="27"/>
    </row>
    <row r="514" spans="12:12" ht="12.75" customHeight="1" x14ac:dyDescent="0.5">
      <c r="L514" s="27"/>
    </row>
    <row r="515" spans="12:12" ht="12.75" customHeight="1" x14ac:dyDescent="0.5">
      <c r="L515" s="27"/>
    </row>
    <row r="516" spans="12:12" ht="12.75" customHeight="1" x14ac:dyDescent="0.5">
      <c r="L516" s="27"/>
    </row>
    <row r="517" spans="12:12" ht="12.75" customHeight="1" x14ac:dyDescent="0.5">
      <c r="L517" s="27"/>
    </row>
    <row r="518" spans="12:12" ht="12.75" customHeight="1" x14ac:dyDescent="0.5">
      <c r="L518" s="27"/>
    </row>
    <row r="519" spans="12:12" ht="12.75" customHeight="1" x14ac:dyDescent="0.5">
      <c r="L519" s="27"/>
    </row>
    <row r="520" spans="12:12" ht="12.75" customHeight="1" x14ac:dyDescent="0.5">
      <c r="L520" s="27"/>
    </row>
    <row r="521" spans="12:12" ht="12.75" customHeight="1" x14ac:dyDescent="0.5">
      <c r="L521" s="27"/>
    </row>
    <row r="522" spans="12:12" ht="12.75" customHeight="1" x14ac:dyDescent="0.5">
      <c r="L522" s="27"/>
    </row>
    <row r="523" spans="12:12" ht="12.75" customHeight="1" x14ac:dyDescent="0.5">
      <c r="L523" s="27"/>
    </row>
    <row r="524" spans="12:12" ht="12.75" customHeight="1" x14ac:dyDescent="0.5">
      <c r="L524" s="27"/>
    </row>
    <row r="525" spans="12:12" ht="12.75" customHeight="1" x14ac:dyDescent="0.5">
      <c r="L525" s="27"/>
    </row>
    <row r="526" spans="12:12" ht="12.75" customHeight="1" x14ac:dyDescent="0.5">
      <c r="L526" s="27"/>
    </row>
    <row r="527" spans="12:12" ht="12.75" customHeight="1" x14ac:dyDescent="0.5">
      <c r="L527" s="27"/>
    </row>
    <row r="528" spans="12:12" ht="12.75" customHeight="1" x14ac:dyDescent="0.5">
      <c r="L528" s="27"/>
    </row>
    <row r="529" spans="12:12" ht="12.75" customHeight="1" x14ac:dyDescent="0.5">
      <c r="L529" s="27"/>
    </row>
    <row r="530" spans="12:12" ht="12.75" customHeight="1" x14ac:dyDescent="0.5">
      <c r="L530" s="27"/>
    </row>
    <row r="531" spans="12:12" ht="12.75" customHeight="1" x14ac:dyDescent="0.5">
      <c r="L531" s="27"/>
    </row>
    <row r="532" spans="12:12" ht="12.75" customHeight="1" x14ac:dyDescent="0.5">
      <c r="L532" s="27"/>
    </row>
    <row r="533" spans="12:12" ht="12.75" customHeight="1" x14ac:dyDescent="0.5">
      <c r="L533" s="27"/>
    </row>
    <row r="534" spans="12:12" ht="12.75" customHeight="1" x14ac:dyDescent="0.5">
      <c r="L534" s="27"/>
    </row>
    <row r="535" spans="12:12" ht="12.75" customHeight="1" x14ac:dyDescent="0.5">
      <c r="L535" s="27"/>
    </row>
    <row r="536" spans="12:12" ht="12.75" customHeight="1" x14ac:dyDescent="0.5">
      <c r="L536" s="27"/>
    </row>
    <row r="537" spans="12:12" ht="12.75" customHeight="1" x14ac:dyDescent="0.5">
      <c r="L537" s="27"/>
    </row>
    <row r="538" spans="12:12" ht="12.75" customHeight="1" x14ac:dyDescent="0.5">
      <c r="L538" s="27"/>
    </row>
    <row r="539" spans="12:12" ht="12.75" customHeight="1" x14ac:dyDescent="0.5">
      <c r="L539" s="27"/>
    </row>
    <row r="540" spans="12:12" ht="12.75" customHeight="1" x14ac:dyDescent="0.5">
      <c r="L540" s="27"/>
    </row>
    <row r="541" spans="12:12" ht="12.75" customHeight="1" x14ac:dyDescent="0.5">
      <c r="L541" s="27"/>
    </row>
    <row r="542" spans="12:12" ht="12.75" customHeight="1" x14ac:dyDescent="0.5">
      <c r="L542" s="27"/>
    </row>
    <row r="543" spans="12:12" ht="12.75" customHeight="1" x14ac:dyDescent="0.5">
      <c r="L543" s="27"/>
    </row>
    <row r="544" spans="12:12" ht="12.75" customHeight="1" x14ac:dyDescent="0.5">
      <c r="L544" s="27"/>
    </row>
    <row r="545" spans="12:12" ht="12.75" customHeight="1" x14ac:dyDescent="0.5">
      <c r="L545" s="27"/>
    </row>
    <row r="546" spans="12:12" ht="12.75" customHeight="1" x14ac:dyDescent="0.5">
      <c r="L546" s="27"/>
    </row>
    <row r="547" spans="12:12" ht="12.75" customHeight="1" x14ac:dyDescent="0.5">
      <c r="L547" s="27"/>
    </row>
    <row r="548" spans="12:12" ht="12.75" customHeight="1" x14ac:dyDescent="0.5">
      <c r="L548" s="27"/>
    </row>
    <row r="549" spans="12:12" ht="12.75" customHeight="1" x14ac:dyDescent="0.5">
      <c r="L549" s="27"/>
    </row>
    <row r="550" spans="12:12" ht="12.75" customHeight="1" x14ac:dyDescent="0.5">
      <c r="L550" s="27"/>
    </row>
    <row r="551" spans="12:12" ht="12.75" customHeight="1" x14ac:dyDescent="0.5">
      <c r="L551" s="27"/>
    </row>
    <row r="552" spans="12:12" ht="12.75" customHeight="1" x14ac:dyDescent="0.5">
      <c r="L552" s="27"/>
    </row>
    <row r="553" spans="12:12" ht="12.75" customHeight="1" x14ac:dyDescent="0.5">
      <c r="L553" s="27"/>
    </row>
    <row r="554" spans="12:12" ht="12.75" customHeight="1" x14ac:dyDescent="0.5">
      <c r="L554" s="27"/>
    </row>
    <row r="555" spans="12:12" ht="12.75" customHeight="1" x14ac:dyDescent="0.5">
      <c r="L555" s="27"/>
    </row>
    <row r="556" spans="12:12" ht="12.75" customHeight="1" x14ac:dyDescent="0.5">
      <c r="L556" s="27"/>
    </row>
    <row r="557" spans="12:12" ht="12.75" customHeight="1" x14ac:dyDescent="0.5">
      <c r="L557" s="27"/>
    </row>
    <row r="558" spans="12:12" ht="12.75" customHeight="1" x14ac:dyDescent="0.5">
      <c r="L558" s="27"/>
    </row>
    <row r="559" spans="12:12" ht="12.75" customHeight="1" x14ac:dyDescent="0.5">
      <c r="L559" s="27"/>
    </row>
    <row r="560" spans="12:12" ht="12.75" customHeight="1" x14ac:dyDescent="0.5">
      <c r="L560" s="27"/>
    </row>
    <row r="561" spans="12:12" ht="12.75" customHeight="1" x14ac:dyDescent="0.5">
      <c r="L561" s="27"/>
    </row>
    <row r="562" spans="12:12" ht="12.75" customHeight="1" x14ac:dyDescent="0.5">
      <c r="L562" s="27"/>
    </row>
    <row r="563" spans="12:12" ht="12.75" customHeight="1" x14ac:dyDescent="0.5">
      <c r="L563" s="27"/>
    </row>
    <row r="564" spans="12:12" ht="12.75" customHeight="1" x14ac:dyDescent="0.5">
      <c r="L564" s="27"/>
    </row>
    <row r="565" spans="12:12" ht="12.75" customHeight="1" x14ac:dyDescent="0.5">
      <c r="L565" s="27"/>
    </row>
    <row r="566" spans="12:12" ht="12.75" customHeight="1" x14ac:dyDescent="0.5">
      <c r="L566" s="27"/>
    </row>
    <row r="567" spans="12:12" ht="12.75" customHeight="1" x14ac:dyDescent="0.5">
      <c r="L567" s="27"/>
    </row>
    <row r="568" spans="12:12" ht="12.75" customHeight="1" x14ac:dyDescent="0.5">
      <c r="L568" s="27"/>
    </row>
    <row r="569" spans="12:12" ht="12.75" customHeight="1" x14ac:dyDescent="0.5">
      <c r="L569" s="27"/>
    </row>
    <row r="570" spans="12:12" ht="12.75" customHeight="1" x14ac:dyDescent="0.5">
      <c r="L570" s="27"/>
    </row>
    <row r="571" spans="12:12" ht="12.75" customHeight="1" x14ac:dyDescent="0.5">
      <c r="L571" s="27"/>
    </row>
    <row r="572" spans="12:12" ht="12.75" customHeight="1" x14ac:dyDescent="0.5">
      <c r="L572" s="27"/>
    </row>
    <row r="573" spans="12:12" ht="12.75" customHeight="1" x14ac:dyDescent="0.5">
      <c r="L573" s="27"/>
    </row>
    <row r="574" spans="12:12" ht="12.75" customHeight="1" x14ac:dyDescent="0.5">
      <c r="L574" s="27"/>
    </row>
    <row r="575" spans="12:12" ht="12.75" customHeight="1" x14ac:dyDescent="0.5">
      <c r="L575" s="27"/>
    </row>
    <row r="576" spans="12:12" ht="12.75" customHeight="1" x14ac:dyDescent="0.5">
      <c r="L576" s="27"/>
    </row>
    <row r="577" spans="12:12" ht="12.75" customHeight="1" x14ac:dyDescent="0.5">
      <c r="L577" s="27"/>
    </row>
    <row r="578" spans="12:12" ht="12.75" customHeight="1" x14ac:dyDescent="0.5">
      <c r="L578" s="27"/>
    </row>
    <row r="579" spans="12:12" ht="12.75" customHeight="1" x14ac:dyDescent="0.5">
      <c r="L579" s="27"/>
    </row>
    <row r="580" spans="12:12" ht="12.75" customHeight="1" x14ac:dyDescent="0.5">
      <c r="L580" s="27"/>
    </row>
    <row r="581" spans="12:12" ht="12.75" customHeight="1" x14ac:dyDescent="0.5">
      <c r="L581" s="27"/>
    </row>
    <row r="582" spans="12:12" ht="12.75" customHeight="1" x14ac:dyDescent="0.5">
      <c r="L582" s="27"/>
    </row>
    <row r="583" spans="12:12" ht="12.75" customHeight="1" x14ac:dyDescent="0.5">
      <c r="L583" s="27"/>
    </row>
    <row r="584" spans="12:12" ht="12.75" customHeight="1" x14ac:dyDescent="0.5">
      <c r="L584" s="27"/>
    </row>
    <row r="585" spans="12:12" ht="12.75" customHeight="1" x14ac:dyDescent="0.5">
      <c r="L585" s="27"/>
    </row>
    <row r="586" spans="12:12" ht="12.75" customHeight="1" x14ac:dyDescent="0.5">
      <c r="L586" s="27"/>
    </row>
    <row r="587" spans="12:12" ht="12.75" customHeight="1" x14ac:dyDescent="0.5">
      <c r="L587" s="27"/>
    </row>
    <row r="588" spans="12:12" ht="12.75" customHeight="1" x14ac:dyDescent="0.5">
      <c r="L588" s="27"/>
    </row>
    <row r="589" spans="12:12" ht="12.75" customHeight="1" x14ac:dyDescent="0.5">
      <c r="L589" s="27"/>
    </row>
    <row r="590" spans="12:12" ht="12.75" customHeight="1" x14ac:dyDescent="0.5">
      <c r="L590" s="27"/>
    </row>
    <row r="591" spans="12:12" ht="12.75" customHeight="1" x14ac:dyDescent="0.5">
      <c r="L591" s="27"/>
    </row>
    <row r="592" spans="12:12" ht="12.75" customHeight="1" x14ac:dyDescent="0.5">
      <c r="L592" s="27"/>
    </row>
    <row r="593" spans="12:12" ht="12.75" customHeight="1" x14ac:dyDescent="0.5">
      <c r="L593" s="27"/>
    </row>
    <row r="594" spans="12:12" ht="12.75" customHeight="1" x14ac:dyDescent="0.5">
      <c r="L594" s="27"/>
    </row>
    <row r="595" spans="12:12" ht="12.75" customHeight="1" x14ac:dyDescent="0.5">
      <c r="L595" s="27"/>
    </row>
    <row r="596" spans="12:12" ht="12.75" customHeight="1" x14ac:dyDescent="0.5">
      <c r="L596" s="27"/>
    </row>
    <row r="597" spans="12:12" ht="12.75" customHeight="1" x14ac:dyDescent="0.5">
      <c r="L597" s="27"/>
    </row>
    <row r="598" spans="12:12" ht="12.75" customHeight="1" x14ac:dyDescent="0.5">
      <c r="L598" s="27"/>
    </row>
    <row r="599" spans="12:12" ht="12.75" customHeight="1" x14ac:dyDescent="0.5">
      <c r="L599" s="27"/>
    </row>
    <row r="600" spans="12:12" ht="12.75" customHeight="1" x14ac:dyDescent="0.5">
      <c r="L600" s="27"/>
    </row>
    <row r="601" spans="12:12" ht="12.75" customHeight="1" x14ac:dyDescent="0.5">
      <c r="L601" s="27"/>
    </row>
    <row r="602" spans="12:12" ht="12.75" customHeight="1" x14ac:dyDescent="0.5">
      <c r="L602" s="27"/>
    </row>
    <row r="603" spans="12:12" ht="12.75" customHeight="1" x14ac:dyDescent="0.5">
      <c r="L603" s="27"/>
    </row>
    <row r="604" spans="12:12" ht="12.75" customHeight="1" x14ac:dyDescent="0.5">
      <c r="L604" s="27"/>
    </row>
    <row r="605" spans="12:12" ht="12.75" customHeight="1" x14ac:dyDescent="0.5">
      <c r="L605" s="27"/>
    </row>
    <row r="606" spans="12:12" ht="12.75" customHeight="1" x14ac:dyDescent="0.5">
      <c r="L606" s="27"/>
    </row>
    <row r="607" spans="12:12" ht="12.75" customHeight="1" x14ac:dyDescent="0.5">
      <c r="L607" s="27"/>
    </row>
    <row r="608" spans="12:12" ht="12.75" customHeight="1" x14ac:dyDescent="0.5">
      <c r="L608" s="27"/>
    </row>
    <row r="609" spans="12:12" ht="12.75" customHeight="1" x14ac:dyDescent="0.5">
      <c r="L609" s="27"/>
    </row>
    <row r="610" spans="12:12" ht="12.75" customHeight="1" x14ac:dyDescent="0.5">
      <c r="L610" s="27"/>
    </row>
    <row r="611" spans="12:12" ht="12.75" customHeight="1" x14ac:dyDescent="0.5">
      <c r="L611" s="27"/>
    </row>
    <row r="612" spans="12:12" ht="12.75" customHeight="1" x14ac:dyDescent="0.5">
      <c r="L612" s="27"/>
    </row>
    <row r="613" spans="12:12" ht="12.75" customHeight="1" x14ac:dyDescent="0.5">
      <c r="L613" s="27"/>
    </row>
    <row r="614" spans="12:12" ht="12.75" customHeight="1" x14ac:dyDescent="0.5">
      <c r="L614" s="27"/>
    </row>
    <row r="615" spans="12:12" ht="12.75" customHeight="1" x14ac:dyDescent="0.5">
      <c r="L615" s="27"/>
    </row>
    <row r="616" spans="12:12" ht="12.75" customHeight="1" x14ac:dyDescent="0.5">
      <c r="L616" s="27"/>
    </row>
    <row r="617" spans="12:12" ht="12.75" customHeight="1" x14ac:dyDescent="0.5">
      <c r="L617" s="27"/>
    </row>
    <row r="618" spans="12:12" ht="12.75" customHeight="1" x14ac:dyDescent="0.5">
      <c r="L618" s="27"/>
    </row>
    <row r="619" spans="12:12" ht="12.75" customHeight="1" x14ac:dyDescent="0.5">
      <c r="L619" s="27"/>
    </row>
    <row r="620" spans="12:12" ht="12.75" customHeight="1" x14ac:dyDescent="0.5">
      <c r="L620" s="27"/>
    </row>
    <row r="621" spans="12:12" ht="12.75" customHeight="1" x14ac:dyDescent="0.5">
      <c r="L621" s="27"/>
    </row>
    <row r="622" spans="12:12" ht="12.75" customHeight="1" x14ac:dyDescent="0.5">
      <c r="L622" s="27"/>
    </row>
    <row r="623" spans="12:12" ht="12.75" customHeight="1" x14ac:dyDescent="0.5">
      <c r="L623" s="27"/>
    </row>
    <row r="624" spans="12:12" ht="12.75" customHeight="1" x14ac:dyDescent="0.5">
      <c r="L624" s="27"/>
    </row>
    <row r="625" spans="12:12" ht="12.75" customHeight="1" x14ac:dyDescent="0.5">
      <c r="L625" s="27"/>
    </row>
    <row r="626" spans="12:12" ht="12.75" customHeight="1" x14ac:dyDescent="0.5">
      <c r="L626" s="27"/>
    </row>
    <row r="627" spans="12:12" ht="12.75" customHeight="1" x14ac:dyDescent="0.5">
      <c r="L627" s="27"/>
    </row>
    <row r="628" spans="12:12" ht="12.75" customHeight="1" x14ac:dyDescent="0.5">
      <c r="L628" s="27"/>
    </row>
    <row r="629" spans="12:12" ht="12.75" customHeight="1" x14ac:dyDescent="0.5">
      <c r="L629" s="27"/>
    </row>
    <row r="630" spans="12:12" ht="12.75" customHeight="1" x14ac:dyDescent="0.5">
      <c r="L630" s="27"/>
    </row>
    <row r="631" spans="12:12" ht="12.75" customHeight="1" x14ac:dyDescent="0.5">
      <c r="L631" s="27"/>
    </row>
    <row r="632" spans="12:12" ht="12.75" customHeight="1" x14ac:dyDescent="0.5">
      <c r="L632" s="27"/>
    </row>
    <row r="633" spans="12:12" ht="12.75" customHeight="1" x14ac:dyDescent="0.5">
      <c r="L633" s="27"/>
    </row>
    <row r="634" spans="12:12" ht="12.75" customHeight="1" x14ac:dyDescent="0.5">
      <c r="L634" s="27"/>
    </row>
    <row r="635" spans="12:12" ht="12.75" customHeight="1" x14ac:dyDescent="0.5">
      <c r="L635" s="27"/>
    </row>
    <row r="636" spans="12:12" ht="12.75" customHeight="1" x14ac:dyDescent="0.5">
      <c r="L636" s="27"/>
    </row>
    <row r="637" spans="12:12" ht="12.75" customHeight="1" x14ac:dyDescent="0.5">
      <c r="L637" s="27"/>
    </row>
    <row r="638" spans="12:12" ht="12.75" customHeight="1" x14ac:dyDescent="0.5">
      <c r="L638" s="27"/>
    </row>
    <row r="639" spans="12:12" ht="12.75" customHeight="1" x14ac:dyDescent="0.5">
      <c r="L639" s="27"/>
    </row>
    <row r="640" spans="12:12" ht="12.75" customHeight="1" x14ac:dyDescent="0.5">
      <c r="L640" s="27"/>
    </row>
    <row r="641" spans="12:12" ht="12.75" customHeight="1" x14ac:dyDescent="0.5">
      <c r="L641" s="27"/>
    </row>
    <row r="642" spans="12:12" ht="12.75" customHeight="1" x14ac:dyDescent="0.5">
      <c r="L642" s="27"/>
    </row>
    <row r="643" spans="12:12" ht="12.75" customHeight="1" x14ac:dyDescent="0.5">
      <c r="L643" s="27"/>
    </row>
    <row r="644" spans="12:12" ht="12.75" customHeight="1" x14ac:dyDescent="0.5">
      <c r="L644" s="27"/>
    </row>
    <row r="645" spans="12:12" ht="12.75" customHeight="1" x14ac:dyDescent="0.5">
      <c r="L645" s="27"/>
    </row>
    <row r="646" spans="12:12" ht="12.75" customHeight="1" x14ac:dyDescent="0.5">
      <c r="L646" s="27"/>
    </row>
    <row r="647" spans="12:12" ht="12.75" customHeight="1" x14ac:dyDescent="0.5">
      <c r="L647" s="27"/>
    </row>
    <row r="648" spans="12:12" ht="12.75" customHeight="1" x14ac:dyDescent="0.5">
      <c r="L648" s="27"/>
    </row>
    <row r="649" spans="12:12" ht="12.75" customHeight="1" x14ac:dyDescent="0.5">
      <c r="L649" s="27"/>
    </row>
    <row r="650" spans="12:12" ht="12.75" customHeight="1" x14ac:dyDescent="0.5">
      <c r="L650" s="27"/>
    </row>
    <row r="651" spans="12:12" ht="12.75" customHeight="1" x14ac:dyDescent="0.5">
      <c r="L651" s="27"/>
    </row>
    <row r="652" spans="12:12" ht="12.75" customHeight="1" x14ac:dyDescent="0.5">
      <c r="L652" s="27"/>
    </row>
    <row r="653" spans="12:12" ht="12.75" customHeight="1" x14ac:dyDescent="0.5">
      <c r="L653" s="27"/>
    </row>
    <row r="654" spans="12:12" ht="12.75" customHeight="1" x14ac:dyDescent="0.5">
      <c r="L654" s="27"/>
    </row>
    <row r="655" spans="12:12" ht="12.75" customHeight="1" x14ac:dyDescent="0.5">
      <c r="L655" s="27"/>
    </row>
    <row r="656" spans="12:12" ht="12.75" customHeight="1" x14ac:dyDescent="0.5">
      <c r="L656" s="27"/>
    </row>
    <row r="657" spans="12:12" ht="12.75" customHeight="1" x14ac:dyDescent="0.5">
      <c r="L657" s="27"/>
    </row>
    <row r="658" spans="12:12" ht="12.75" customHeight="1" x14ac:dyDescent="0.5">
      <c r="L658" s="27"/>
    </row>
    <row r="659" spans="12:12" ht="12.75" customHeight="1" x14ac:dyDescent="0.5">
      <c r="L659" s="27"/>
    </row>
    <row r="660" spans="12:12" ht="12.75" customHeight="1" x14ac:dyDescent="0.5">
      <c r="L660" s="27"/>
    </row>
    <row r="661" spans="12:12" ht="12.75" customHeight="1" x14ac:dyDescent="0.5">
      <c r="L661" s="27"/>
    </row>
    <row r="662" spans="12:12" ht="12.75" customHeight="1" x14ac:dyDescent="0.5">
      <c r="L662" s="27"/>
    </row>
    <row r="663" spans="12:12" ht="12.75" customHeight="1" x14ac:dyDescent="0.5">
      <c r="L663" s="27"/>
    </row>
    <row r="664" spans="12:12" ht="12.75" customHeight="1" x14ac:dyDescent="0.5">
      <c r="L664" s="27"/>
    </row>
    <row r="665" spans="12:12" ht="12.75" customHeight="1" x14ac:dyDescent="0.5">
      <c r="L665" s="27"/>
    </row>
    <row r="666" spans="12:12" ht="12.75" customHeight="1" x14ac:dyDescent="0.5">
      <c r="L666" s="27"/>
    </row>
    <row r="667" spans="12:12" ht="12.75" customHeight="1" x14ac:dyDescent="0.5">
      <c r="L667" s="27"/>
    </row>
    <row r="668" spans="12:12" ht="12.75" customHeight="1" x14ac:dyDescent="0.5">
      <c r="L668" s="27"/>
    </row>
    <row r="669" spans="12:12" ht="12.75" customHeight="1" x14ac:dyDescent="0.5">
      <c r="L669" s="27"/>
    </row>
    <row r="670" spans="12:12" ht="12.75" customHeight="1" x14ac:dyDescent="0.5">
      <c r="L670" s="27"/>
    </row>
    <row r="671" spans="12:12" ht="12.75" customHeight="1" x14ac:dyDescent="0.5">
      <c r="L671" s="27"/>
    </row>
    <row r="672" spans="12:12" ht="12.75" customHeight="1" x14ac:dyDescent="0.5">
      <c r="L672" s="27"/>
    </row>
    <row r="673" spans="12:12" ht="12.75" customHeight="1" x14ac:dyDescent="0.5">
      <c r="L673" s="27"/>
    </row>
    <row r="674" spans="12:12" ht="12.75" customHeight="1" x14ac:dyDescent="0.5">
      <c r="L674" s="27"/>
    </row>
    <row r="675" spans="12:12" ht="12.75" customHeight="1" x14ac:dyDescent="0.5">
      <c r="L675" s="27"/>
    </row>
    <row r="676" spans="12:12" ht="12.75" customHeight="1" x14ac:dyDescent="0.5">
      <c r="L676" s="27"/>
    </row>
    <row r="677" spans="12:12" ht="12.75" customHeight="1" x14ac:dyDescent="0.5">
      <c r="L677" s="27"/>
    </row>
    <row r="678" spans="12:12" ht="12.75" customHeight="1" x14ac:dyDescent="0.5">
      <c r="L678" s="27"/>
    </row>
    <row r="679" spans="12:12" ht="12.75" customHeight="1" x14ac:dyDescent="0.5">
      <c r="L679" s="27"/>
    </row>
    <row r="680" spans="12:12" ht="12.75" customHeight="1" x14ac:dyDescent="0.5">
      <c r="L680" s="27"/>
    </row>
    <row r="681" spans="12:12" ht="12.75" customHeight="1" x14ac:dyDescent="0.5">
      <c r="L681" s="27"/>
    </row>
    <row r="682" spans="12:12" ht="12.75" customHeight="1" x14ac:dyDescent="0.5">
      <c r="L682" s="27"/>
    </row>
    <row r="683" spans="12:12" ht="12.75" customHeight="1" x14ac:dyDescent="0.5">
      <c r="L683" s="27"/>
    </row>
    <row r="684" spans="12:12" ht="12.75" customHeight="1" x14ac:dyDescent="0.5">
      <c r="L684" s="27"/>
    </row>
    <row r="685" spans="12:12" ht="12.75" customHeight="1" x14ac:dyDescent="0.5">
      <c r="L685" s="27"/>
    </row>
    <row r="686" spans="12:12" ht="12.75" customHeight="1" x14ac:dyDescent="0.5">
      <c r="L686" s="27"/>
    </row>
    <row r="687" spans="12:12" ht="12.75" customHeight="1" x14ac:dyDescent="0.5">
      <c r="L687" s="27"/>
    </row>
    <row r="688" spans="12:12" ht="12.75" customHeight="1" x14ac:dyDescent="0.5">
      <c r="L688" s="27"/>
    </row>
    <row r="689" spans="12:12" ht="12.75" customHeight="1" x14ac:dyDescent="0.5">
      <c r="L689" s="27"/>
    </row>
    <row r="690" spans="12:12" ht="12.75" customHeight="1" x14ac:dyDescent="0.5">
      <c r="L690" s="27"/>
    </row>
    <row r="691" spans="12:12" ht="12.75" customHeight="1" x14ac:dyDescent="0.5">
      <c r="L691" s="27"/>
    </row>
    <row r="692" spans="12:12" ht="12.75" customHeight="1" x14ac:dyDescent="0.5">
      <c r="L692" s="27"/>
    </row>
    <row r="693" spans="12:12" ht="12.75" customHeight="1" x14ac:dyDescent="0.5">
      <c r="L693" s="27"/>
    </row>
    <row r="694" spans="12:12" ht="12.75" customHeight="1" x14ac:dyDescent="0.5">
      <c r="L694" s="27"/>
    </row>
    <row r="695" spans="12:12" ht="12.75" customHeight="1" x14ac:dyDescent="0.5">
      <c r="L695" s="27"/>
    </row>
    <row r="696" spans="12:12" ht="12.75" customHeight="1" x14ac:dyDescent="0.5">
      <c r="L696" s="27"/>
    </row>
    <row r="697" spans="12:12" ht="12.75" customHeight="1" x14ac:dyDescent="0.5">
      <c r="L697" s="27"/>
    </row>
    <row r="698" spans="12:12" ht="12.75" customHeight="1" x14ac:dyDescent="0.5">
      <c r="L698" s="27"/>
    </row>
    <row r="699" spans="12:12" ht="12.75" customHeight="1" x14ac:dyDescent="0.5">
      <c r="L699" s="27"/>
    </row>
    <row r="700" spans="12:12" ht="12.75" customHeight="1" x14ac:dyDescent="0.5">
      <c r="L700" s="27"/>
    </row>
    <row r="701" spans="12:12" ht="12.75" customHeight="1" x14ac:dyDescent="0.5">
      <c r="L701" s="27"/>
    </row>
    <row r="702" spans="12:12" ht="12.75" customHeight="1" x14ac:dyDescent="0.5">
      <c r="L702" s="27"/>
    </row>
    <row r="703" spans="12:12" ht="12.75" customHeight="1" x14ac:dyDescent="0.5">
      <c r="L703" s="27"/>
    </row>
    <row r="704" spans="12:12" ht="12.75" customHeight="1" x14ac:dyDescent="0.5">
      <c r="L704" s="27"/>
    </row>
    <row r="705" spans="12:12" ht="12.75" customHeight="1" x14ac:dyDescent="0.5">
      <c r="L705" s="27"/>
    </row>
    <row r="706" spans="12:12" ht="12.75" customHeight="1" x14ac:dyDescent="0.5">
      <c r="L706" s="27"/>
    </row>
    <row r="707" spans="12:12" ht="12.75" customHeight="1" x14ac:dyDescent="0.5">
      <c r="L707" s="27"/>
    </row>
    <row r="708" spans="12:12" ht="12.75" customHeight="1" x14ac:dyDescent="0.5">
      <c r="L708" s="27"/>
    </row>
    <row r="709" spans="12:12" ht="12.75" customHeight="1" x14ac:dyDescent="0.5">
      <c r="L709" s="27"/>
    </row>
    <row r="710" spans="12:12" ht="12.75" customHeight="1" x14ac:dyDescent="0.5">
      <c r="L710" s="27"/>
    </row>
    <row r="711" spans="12:12" ht="12.75" customHeight="1" x14ac:dyDescent="0.5">
      <c r="L711" s="27"/>
    </row>
    <row r="712" spans="12:12" ht="12.75" customHeight="1" x14ac:dyDescent="0.5">
      <c r="L712" s="27"/>
    </row>
    <row r="713" spans="12:12" ht="12.75" customHeight="1" x14ac:dyDescent="0.5">
      <c r="L713" s="27"/>
    </row>
    <row r="714" spans="12:12" ht="12.75" customHeight="1" x14ac:dyDescent="0.5">
      <c r="L714" s="27"/>
    </row>
    <row r="715" spans="12:12" ht="12.75" customHeight="1" x14ac:dyDescent="0.5">
      <c r="L715" s="27"/>
    </row>
    <row r="716" spans="12:12" ht="12.75" customHeight="1" x14ac:dyDescent="0.5">
      <c r="L716" s="27"/>
    </row>
    <row r="717" spans="12:12" ht="12.75" customHeight="1" x14ac:dyDescent="0.5">
      <c r="L717" s="27"/>
    </row>
    <row r="718" spans="12:12" ht="12.75" customHeight="1" x14ac:dyDescent="0.5">
      <c r="L718" s="27"/>
    </row>
    <row r="719" spans="12:12" ht="12.75" customHeight="1" x14ac:dyDescent="0.5">
      <c r="L719" s="27"/>
    </row>
    <row r="720" spans="12:12" ht="12.75" customHeight="1" x14ac:dyDescent="0.5">
      <c r="L720" s="27"/>
    </row>
    <row r="721" spans="12:12" ht="12.75" customHeight="1" x14ac:dyDescent="0.5">
      <c r="L721" s="27"/>
    </row>
    <row r="722" spans="12:12" ht="12.75" customHeight="1" x14ac:dyDescent="0.5">
      <c r="L722" s="27"/>
    </row>
    <row r="723" spans="12:12" ht="12.75" customHeight="1" x14ac:dyDescent="0.5">
      <c r="L723" s="27"/>
    </row>
    <row r="724" spans="12:12" ht="12.75" customHeight="1" x14ac:dyDescent="0.5">
      <c r="L724" s="27"/>
    </row>
    <row r="725" spans="12:12" ht="12.75" customHeight="1" x14ac:dyDescent="0.5">
      <c r="L725" s="27"/>
    </row>
    <row r="726" spans="12:12" ht="12.75" customHeight="1" x14ac:dyDescent="0.5">
      <c r="L726" s="27"/>
    </row>
    <row r="727" spans="12:12" ht="12.75" customHeight="1" x14ac:dyDescent="0.5">
      <c r="L727" s="27"/>
    </row>
    <row r="728" spans="12:12" ht="12.75" customHeight="1" x14ac:dyDescent="0.5">
      <c r="L728" s="27"/>
    </row>
    <row r="729" spans="12:12" ht="12.75" customHeight="1" x14ac:dyDescent="0.5">
      <c r="L729" s="27"/>
    </row>
    <row r="730" spans="12:12" ht="12.75" customHeight="1" x14ac:dyDescent="0.5">
      <c r="L730" s="27"/>
    </row>
    <row r="731" spans="12:12" ht="12.75" customHeight="1" x14ac:dyDescent="0.5">
      <c r="L731" s="27"/>
    </row>
    <row r="732" spans="12:12" ht="12.75" customHeight="1" x14ac:dyDescent="0.5">
      <c r="L732" s="27"/>
    </row>
    <row r="733" spans="12:12" ht="12.75" customHeight="1" x14ac:dyDescent="0.5">
      <c r="L733" s="27"/>
    </row>
    <row r="734" spans="12:12" ht="12.75" customHeight="1" x14ac:dyDescent="0.5">
      <c r="L734" s="27"/>
    </row>
    <row r="735" spans="12:12" ht="12.75" customHeight="1" x14ac:dyDescent="0.5">
      <c r="L735" s="27"/>
    </row>
    <row r="736" spans="12:12" ht="12.75" customHeight="1" x14ac:dyDescent="0.5">
      <c r="L736" s="27"/>
    </row>
    <row r="737" spans="12:12" ht="12.75" customHeight="1" x14ac:dyDescent="0.5">
      <c r="L737" s="27"/>
    </row>
    <row r="738" spans="12:12" ht="12.75" customHeight="1" x14ac:dyDescent="0.5">
      <c r="L738" s="27"/>
    </row>
    <row r="739" spans="12:12" ht="12.75" customHeight="1" x14ac:dyDescent="0.5">
      <c r="L739" s="27"/>
    </row>
    <row r="740" spans="12:12" ht="12.75" customHeight="1" x14ac:dyDescent="0.5">
      <c r="L740" s="27"/>
    </row>
    <row r="741" spans="12:12" ht="12.75" customHeight="1" x14ac:dyDescent="0.5">
      <c r="L741" s="27"/>
    </row>
    <row r="742" spans="12:12" ht="12.75" customHeight="1" x14ac:dyDescent="0.5">
      <c r="L742" s="27"/>
    </row>
    <row r="743" spans="12:12" ht="12.75" customHeight="1" x14ac:dyDescent="0.5">
      <c r="L743" s="27"/>
    </row>
    <row r="744" spans="12:12" ht="12.75" customHeight="1" x14ac:dyDescent="0.5">
      <c r="L744" s="27"/>
    </row>
    <row r="745" spans="12:12" ht="12.75" customHeight="1" x14ac:dyDescent="0.5">
      <c r="L745" s="27"/>
    </row>
    <row r="746" spans="12:12" ht="12.75" customHeight="1" x14ac:dyDescent="0.5">
      <c r="L746" s="27"/>
    </row>
    <row r="747" spans="12:12" ht="12.75" customHeight="1" x14ac:dyDescent="0.5">
      <c r="L747" s="27"/>
    </row>
    <row r="748" spans="12:12" ht="12.75" customHeight="1" x14ac:dyDescent="0.5">
      <c r="L748" s="27"/>
    </row>
    <row r="749" spans="12:12" ht="12.75" customHeight="1" x14ac:dyDescent="0.5">
      <c r="L749" s="27"/>
    </row>
    <row r="750" spans="12:12" ht="12.75" customHeight="1" x14ac:dyDescent="0.5">
      <c r="L750" s="27"/>
    </row>
    <row r="751" spans="12:12" ht="12.75" customHeight="1" x14ac:dyDescent="0.5">
      <c r="L751" s="27"/>
    </row>
    <row r="752" spans="12:12" ht="12.75" customHeight="1" x14ac:dyDescent="0.5">
      <c r="L752" s="27"/>
    </row>
    <row r="753" spans="12:12" ht="12.75" customHeight="1" x14ac:dyDescent="0.5">
      <c r="L753" s="27"/>
    </row>
    <row r="754" spans="12:12" ht="12.75" customHeight="1" x14ac:dyDescent="0.5">
      <c r="L754" s="27"/>
    </row>
    <row r="755" spans="12:12" ht="12.75" customHeight="1" x14ac:dyDescent="0.5">
      <c r="L755" s="27"/>
    </row>
    <row r="756" spans="12:12" ht="12.75" customHeight="1" x14ac:dyDescent="0.5">
      <c r="L756" s="27"/>
    </row>
    <row r="757" spans="12:12" ht="12.75" customHeight="1" x14ac:dyDescent="0.5">
      <c r="L757" s="27"/>
    </row>
    <row r="758" spans="12:12" ht="12.75" customHeight="1" x14ac:dyDescent="0.5">
      <c r="L758" s="27"/>
    </row>
    <row r="759" spans="12:12" ht="12.75" customHeight="1" x14ac:dyDescent="0.5">
      <c r="L759" s="27"/>
    </row>
    <row r="760" spans="12:12" ht="12.75" customHeight="1" x14ac:dyDescent="0.5">
      <c r="L760" s="27"/>
    </row>
    <row r="761" spans="12:12" ht="12.75" customHeight="1" x14ac:dyDescent="0.5">
      <c r="L761" s="27"/>
    </row>
    <row r="762" spans="12:12" ht="12.75" customHeight="1" x14ac:dyDescent="0.5">
      <c r="L762" s="27"/>
    </row>
    <row r="763" spans="12:12" ht="12.75" customHeight="1" x14ac:dyDescent="0.5">
      <c r="L763" s="27"/>
    </row>
    <row r="764" spans="12:12" ht="12.75" customHeight="1" x14ac:dyDescent="0.5">
      <c r="L764" s="27"/>
    </row>
    <row r="765" spans="12:12" ht="12.75" customHeight="1" x14ac:dyDescent="0.5">
      <c r="L765" s="27"/>
    </row>
    <row r="766" spans="12:12" ht="12.75" customHeight="1" x14ac:dyDescent="0.5">
      <c r="L766" s="27"/>
    </row>
    <row r="767" spans="12:12" ht="12.75" customHeight="1" x14ac:dyDescent="0.5">
      <c r="L767" s="27"/>
    </row>
    <row r="768" spans="12:12" ht="12.75" customHeight="1" x14ac:dyDescent="0.5">
      <c r="L768" s="27"/>
    </row>
    <row r="769" spans="12:12" ht="12.75" customHeight="1" x14ac:dyDescent="0.5">
      <c r="L769" s="27"/>
    </row>
    <row r="770" spans="12:12" ht="12.75" customHeight="1" x14ac:dyDescent="0.5">
      <c r="L770" s="27"/>
    </row>
    <row r="771" spans="12:12" ht="12.75" customHeight="1" x14ac:dyDescent="0.5">
      <c r="L771" s="27"/>
    </row>
    <row r="772" spans="12:12" ht="12.75" customHeight="1" x14ac:dyDescent="0.5">
      <c r="L772" s="27"/>
    </row>
    <row r="773" spans="12:12" ht="12.75" customHeight="1" x14ac:dyDescent="0.5">
      <c r="L773" s="27"/>
    </row>
    <row r="774" spans="12:12" ht="12.75" customHeight="1" x14ac:dyDescent="0.5">
      <c r="L774" s="27"/>
    </row>
    <row r="775" spans="12:12" ht="12.75" customHeight="1" x14ac:dyDescent="0.5">
      <c r="L775" s="27"/>
    </row>
    <row r="776" spans="12:12" ht="12.75" customHeight="1" x14ac:dyDescent="0.5">
      <c r="L776" s="27"/>
    </row>
    <row r="777" spans="12:12" ht="12.75" customHeight="1" x14ac:dyDescent="0.5">
      <c r="L777" s="27"/>
    </row>
    <row r="778" spans="12:12" ht="12.75" customHeight="1" x14ac:dyDescent="0.5">
      <c r="L778" s="27"/>
    </row>
    <row r="779" spans="12:12" ht="12.75" customHeight="1" x14ac:dyDescent="0.5">
      <c r="L779" s="27"/>
    </row>
    <row r="780" spans="12:12" ht="12.75" customHeight="1" x14ac:dyDescent="0.5">
      <c r="L780" s="27"/>
    </row>
    <row r="781" spans="12:12" ht="12.75" customHeight="1" x14ac:dyDescent="0.5">
      <c r="L781" s="27"/>
    </row>
    <row r="782" spans="12:12" ht="12.75" customHeight="1" x14ac:dyDescent="0.5">
      <c r="L782" s="27"/>
    </row>
    <row r="783" spans="12:12" ht="12.75" customHeight="1" x14ac:dyDescent="0.5">
      <c r="L783" s="27"/>
    </row>
    <row r="784" spans="12:12" ht="12.75" customHeight="1" x14ac:dyDescent="0.5">
      <c r="L784" s="27"/>
    </row>
    <row r="785" spans="12:12" ht="12.75" customHeight="1" x14ac:dyDescent="0.5">
      <c r="L785" s="27"/>
    </row>
    <row r="786" spans="12:12" ht="12.75" customHeight="1" x14ac:dyDescent="0.5">
      <c r="L786" s="27"/>
    </row>
    <row r="787" spans="12:12" ht="12.75" customHeight="1" x14ac:dyDescent="0.5">
      <c r="L787" s="27"/>
    </row>
    <row r="788" spans="12:12" ht="12.75" customHeight="1" x14ac:dyDescent="0.5">
      <c r="L788" s="27"/>
    </row>
    <row r="789" spans="12:12" ht="12.75" customHeight="1" x14ac:dyDescent="0.5">
      <c r="L789" s="27"/>
    </row>
    <row r="790" spans="12:12" ht="12.75" customHeight="1" x14ac:dyDescent="0.5">
      <c r="L790" s="27"/>
    </row>
    <row r="791" spans="12:12" ht="12.75" customHeight="1" x14ac:dyDescent="0.5">
      <c r="L791" s="27"/>
    </row>
    <row r="792" spans="12:12" ht="12.75" customHeight="1" x14ac:dyDescent="0.5">
      <c r="L792" s="27"/>
    </row>
    <row r="793" spans="12:12" ht="12.75" customHeight="1" x14ac:dyDescent="0.5">
      <c r="L793" s="27"/>
    </row>
    <row r="794" spans="12:12" ht="12.75" customHeight="1" x14ac:dyDescent="0.5">
      <c r="L794" s="27"/>
    </row>
    <row r="795" spans="12:12" ht="12.75" customHeight="1" x14ac:dyDescent="0.5">
      <c r="L795" s="27"/>
    </row>
    <row r="796" spans="12:12" ht="12.75" customHeight="1" x14ac:dyDescent="0.5">
      <c r="L796" s="27"/>
    </row>
    <row r="797" spans="12:12" ht="12.75" customHeight="1" x14ac:dyDescent="0.5">
      <c r="L797" s="27"/>
    </row>
    <row r="798" spans="12:12" ht="12.75" customHeight="1" x14ac:dyDescent="0.5">
      <c r="L798" s="27"/>
    </row>
    <row r="799" spans="12:12" ht="12.75" customHeight="1" x14ac:dyDescent="0.5">
      <c r="L799" s="27"/>
    </row>
    <row r="800" spans="12:12" ht="12.75" customHeight="1" x14ac:dyDescent="0.5">
      <c r="L800" s="27"/>
    </row>
    <row r="801" spans="12:12" ht="12.75" customHeight="1" x14ac:dyDescent="0.5">
      <c r="L801" s="27"/>
    </row>
    <row r="802" spans="12:12" ht="12.75" customHeight="1" x14ac:dyDescent="0.5">
      <c r="L802" s="27"/>
    </row>
    <row r="803" spans="12:12" ht="12.75" customHeight="1" x14ac:dyDescent="0.5">
      <c r="L803" s="27"/>
    </row>
    <row r="804" spans="12:12" ht="12.75" customHeight="1" x14ac:dyDescent="0.5">
      <c r="L804" s="27"/>
    </row>
    <row r="805" spans="12:12" ht="12.75" customHeight="1" x14ac:dyDescent="0.5">
      <c r="L805" s="27"/>
    </row>
    <row r="806" spans="12:12" ht="12.75" customHeight="1" x14ac:dyDescent="0.5">
      <c r="L806" s="27"/>
    </row>
    <row r="807" spans="12:12" ht="12.75" customHeight="1" x14ac:dyDescent="0.5">
      <c r="L807" s="27"/>
    </row>
    <row r="808" spans="12:12" ht="12.75" customHeight="1" x14ac:dyDescent="0.5">
      <c r="L808" s="27"/>
    </row>
    <row r="809" spans="12:12" ht="12.75" customHeight="1" x14ac:dyDescent="0.5">
      <c r="L809" s="27"/>
    </row>
    <row r="810" spans="12:12" ht="12.75" customHeight="1" x14ac:dyDescent="0.5">
      <c r="L810" s="27"/>
    </row>
    <row r="811" spans="12:12" ht="12.75" customHeight="1" x14ac:dyDescent="0.5">
      <c r="L811" s="27"/>
    </row>
    <row r="812" spans="12:12" ht="12.75" customHeight="1" x14ac:dyDescent="0.5">
      <c r="L812" s="27"/>
    </row>
    <row r="813" spans="12:12" ht="12.75" customHeight="1" x14ac:dyDescent="0.5">
      <c r="L813" s="27"/>
    </row>
    <row r="814" spans="12:12" ht="12.75" customHeight="1" x14ac:dyDescent="0.5">
      <c r="L814" s="27"/>
    </row>
    <row r="815" spans="12:12" ht="12.75" customHeight="1" x14ac:dyDescent="0.5">
      <c r="L815" s="27"/>
    </row>
    <row r="816" spans="12:12" ht="12.75" customHeight="1" x14ac:dyDescent="0.5">
      <c r="L816" s="27"/>
    </row>
    <row r="817" spans="12:12" ht="12.75" customHeight="1" x14ac:dyDescent="0.5">
      <c r="L817" s="27"/>
    </row>
    <row r="818" spans="12:12" ht="12.75" customHeight="1" x14ac:dyDescent="0.5">
      <c r="L818" s="27"/>
    </row>
    <row r="819" spans="12:12" ht="12.75" customHeight="1" x14ac:dyDescent="0.5">
      <c r="L819" s="27"/>
    </row>
    <row r="820" spans="12:12" ht="12.75" customHeight="1" x14ac:dyDescent="0.5">
      <c r="L820" s="27"/>
    </row>
    <row r="821" spans="12:12" ht="12.75" customHeight="1" x14ac:dyDescent="0.5">
      <c r="L821" s="27"/>
    </row>
    <row r="822" spans="12:12" ht="12.75" customHeight="1" x14ac:dyDescent="0.5">
      <c r="L822" s="27"/>
    </row>
    <row r="823" spans="12:12" ht="12.75" customHeight="1" x14ac:dyDescent="0.5">
      <c r="L823" s="27"/>
    </row>
    <row r="824" spans="12:12" ht="12.75" customHeight="1" x14ac:dyDescent="0.5">
      <c r="L824" s="27"/>
    </row>
    <row r="825" spans="12:12" ht="12.75" customHeight="1" x14ac:dyDescent="0.5">
      <c r="L825" s="27"/>
    </row>
    <row r="826" spans="12:12" ht="12.75" customHeight="1" x14ac:dyDescent="0.5">
      <c r="L826" s="27"/>
    </row>
    <row r="827" spans="12:12" ht="12.75" customHeight="1" x14ac:dyDescent="0.5">
      <c r="L827" s="27"/>
    </row>
    <row r="828" spans="12:12" ht="12.75" customHeight="1" x14ac:dyDescent="0.5">
      <c r="L828" s="27"/>
    </row>
    <row r="829" spans="12:12" ht="12.75" customHeight="1" x14ac:dyDescent="0.5">
      <c r="L829" s="27"/>
    </row>
    <row r="830" spans="12:12" ht="12.75" customHeight="1" x14ac:dyDescent="0.5">
      <c r="L830" s="27"/>
    </row>
    <row r="831" spans="12:12" ht="12.75" customHeight="1" x14ac:dyDescent="0.5">
      <c r="L831" s="27"/>
    </row>
    <row r="832" spans="12:12" ht="12.75" customHeight="1" x14ac:dyDescent="0.5">
      <c r="L832" s="27"/>
    </row>
    <row r="833" spans="12:12" ht="12.75" customHeight="1" x14ac:dyDescent="0.5">
      <c r="L833" s="27"/>
    </row>
    <row r="834" spans="12:12" ht="12.75" customHeight="1" x14ac:dyDescent="0.5">
      <c r="L834" s="27"/>
    </row>
    <row r="835" spans="12:12" ht="12.75" customHeight="1" x14ac:dyDescent="0.5">
      <c r="L835" s="27"/>
    </row>
    <row r="836" spans="12:12" ht="12.75" customHeight="1" x14ac:dyDescent="0.5">
      <c r="L836" s="27"/>
    </row>
    <row r="837" spans="12:12" ht="12.75" customHeight="1" x14ac:dyDescent="0.5">
      <c r="L837" s="27"/>
    </row>
    <row r="838" spans="12:12" ht="12.75" customHeight="1" x14ac:dyDescent="0.5">
      <c r="L838" s="27"/>
    </row>
    <row r="839" spans="12:12" ht="12.75" customHeight="1" x14ac:dyDescent="0.5">
      <c r="L839" s="27"/>
    </row>
    <row r="840" spans="12:12" ht="12.75" customHeight="1" x14ac:dyDescent="0.5">
      <c r="L840" s="27"/>
    </row>
    <row r="841" spans="12:12" ht="12.75" customHeight="1" x14ac:dyDescent="0.5">
      <c r="L841" s="27"/>
    </row>
    <row r="842" spans="12:12" ht="12.75" customHeight="1" x14ac:dyDescent="0.5">
      <c r="L842" s="27"/>
    </row>
    <row r="843" spans="12:12" ht="12.75" customHeight="1" x14ac:dyDescent="0.5">
      <c r="L843" s="27"/>
    </row>
    <row r="844" spans="12:12" ht="12.75" customHeight="1" x14ac:dyDescent="0.5">
      <c r="L844" s="27"/>
    </row>
    <row r="845" spans="12:12" ht="12.75" customHeight="1" x14ac:dyDescent="0.5">
      <c r="L845" s="27"/>
    </row>
    <row r="846" spans="12:12" ht="12.75" customHeight="1" x14ac:dyDescent="0.5">
      <c r="L846" s="27"/>
    </row>
    <row r="847" spans="12:12" ht="12.75" customHeight="1" x14ac:dyDescent="0.5">
      <c r="L847" s="27"/>
    </row>
    <row r="848" spans="12:12" ht="12.75" customHeight="1" x14ac:dyDescent="0.5">
      <c r="L848" s="27"/>
    </row>
    <row r="849" spans="12:12" ht="12.75" customHeight="1" x14ac:dyDescent="0.5">
      <c r="L849" s="27"/>
    </row>
    <row r="850" spans="12:12" ht="12.75" customHeight="1" x14ac:dyDescent="0.5">
      <c r="L850" s="27"/>
    </row>
    <row r="851" spans="12:12" ht="12.75" customHeight="1" x14ac:dyDescent="0.5">
      <c r="L851" s="27"/>
    </row>
    <row r="852" spans="12:12" ht="12.75" customHeight="1" x14ac:dyDescent="0.5">
      <c r="L852" s="27"/>
    </row>
    <row r="853" spans="12:12" ht="12.75" customHeight="1" x14ac:dyDescent="0.5">
      <c r="L853" s="27"/>
    </row>
    <row r="854" spans="12:12" ht="12.75" customHeight="1" x14ac:dyDescent="0.5">
      <c r="L854" s="27"/>
    </row>
    <row r="855" spans="12:12" ht="12.75" customHeight="1" x14ac:dyDescent="0.5">
      <c r="L855" s="27"/>
    </row>
    <row r="856" spans="12:12" ht="12.75" customHeight="1" x14ac:dyDescent="0.5">
      <c r="L856" s="27"/>
    </row>
    <row r="857" spans="12:12" ht="12.75" customHeight="1" x14ac:dyDescent="0.5">
      <c r="L857" s="27"/>
    </row>
    <row r="858" spans="12:12" ht="12.75" customHeight="1" x14ac:dyDescent="0.5">
      <c r="L858" s="27"/>
    </row>
    <row r="859" spans="12:12" ht="12.75" customHeight="1" x14ac:dyDescent="0.5">
      <c r="L859" s="27"/>
    </row>
    <row r="860" spans="12:12" ht="12.75" customHeight="1" x14ac:dyDescent="0.5">
      <c r="L860" s="27"/>
    </row>
    <row r="861" spans="12:12" ht="12.75" customHeight="1" x14ac:dyDescent="0.5">
      <c r="L861" s="27"/>
    </row>
    <row r="862" spans="12:12" ht="12.75" customHeight="1" x14ac:dyDescent="0.5">
      <c r="L862" s="27"/>
    </row>
    <row r="863" spans="12:12" ht="12.75" customHeight="1" x14ac:dyDescent="0.5">
      <c r="L863" s="27"/>
    </row>
    <row r="864" spans="12:12" ht="12.75" customHeight="1" x14ac:dyDescent="0.5">
      <c r="L864" s="27"/>
    </row>
    <row r="865" spans="12:12" ht="12.75" customHeight="1" x14ac:dyDescent="0.5">
      <c r="L865" s="27"/>
    </row>
    <row r="866" spans="12:12" ht="12.75" customHeight="1" x14ac:dyDescent="0.5">
      <c r="L866" s="27"/>
    </row>
    <row r="867" spans="12:12" ht="12.75" customHeight="1" x14ac:dyDescent="0.5">
      <c r="L867" s="27"/>
    </row>
    <row r="868" spans="12:12" ht="12.75" customHeight="1" x14ac:dyDescent="0.5">
      <c r="L868" s="27"/>
    </row>
    <row r="869" spans="12:12" ht="12.75" customHeight="1" x14ac:dyDescent="0.5">
      <c r="L869" s="27"/>
    </row>
    <row r="870" spans="12:12" ht="12.75" customHeight="1" x14ac:dyDescent="0.5">
      <c r="L870" s="27"/>
    </row>
    <row r="871" spans="12:12" ht="12.75" customHeight="1" x14ac:dyDescent="0.5">
      <c r="L871" s="27"/>
    </row>
    <row r="872" spans="12:12" ht="12.75" customHeight="1" x14ac:dyDescent="0.5">
      <c r="L872" s="27"/>
    </row>
    <row r="873" spans="12:12" ht="12.75" customHeight="1" x14ac:dyDescent="0.5">
      <c r="L873" s="27"/>
    </row>
    <row r="874" spans="12:12" ht="12.75" customHeight="1" x14ac:dyDescent="0.5">
      <c r="L874" s="27"/>
    </row>
    <row r="875" spans="12:12" ht="12.75" customHeight="1" x14ac:dyDescent="0.5">
      <c r="L875" s="27"/>
    </row>
    <row r="876" spans="12:12" ht="12.75" customHeight="1" x14ac:dyDescent="0.5">
      <c r="L876" s="27"/>
    </row>
    <row r="877" spans="12:12" ht="12.75" customHeight="1" x14ac:dyDescent="0.5">
      <c r="L877" s="27"/>
    </row>
    <row r="878" spans="12:12" ht="12.75" customHeight="1" x14ac:dyDescent="0.5">
      <c r="L878" s="27"/>
    </row>
    <row r="879" spans="12:12" ht="12.75" customHeight="1" x14ac:dyDescent="0.5">
      <c r="L879" s="27"/>
    </row>
    <row r="880" spans="12:12" ht="12.75" customHeight="1" x14ac:dyDescent="0.5">
      <c r="L880" s="27"/>
    </row>
    <row r="881" spans="12:12" ht="12.75" customHeight="1" x14ac:dyDescent="0.5">
      <c r="L881" s="27"/>
    </row>
    <row r="882" spans="12:12" ht="12.75" customHeight="1" x14ac:dyDescent="0.5">
      <c r="L882" s="27"/>
    </row>
    <row r="883" spans="12:12" ht="12.75" customHeight="1" x14ac:dyDescent="0.5">
      <c r="L883" s="27"/>
    </row>
    <row r="884" spans="12:12" ht="12.75" customHeight="1" x14ac:dyDescent="0.5">
      <c r="L884" s="27"/>
    </row>
    <row r="885" spans="12:12" ht="12.75" customHeight="1" x14ac:dyDescent="0.5">
      <c r="L885" s="27"/>
    </row>
    <row r="886" spans="12:12" ht="12.75" customHeight="1" x14ac:dyDescent="0.5">
      <c r="L886" s="27"/>
    </row>
    <row r="887" spans="12:12" ht="12.75" customHeight="1" x14ac:dyDescent="0.5"/>
    <row r="888" spans="12:12" ht="12.75" customHeight="1" x14ac:dyDescent="0.5"/>
    <row r="889" spans="12:12" ht="12.75" customHeight="1" x14ac:dyDescent="0.5"/>
    <row r="890" spans="12:12" ht="12.75" customHeight="1" x14ac:dyDescent="0.5"/>
    <row r="891" spans="12:12" ht="12.75" customHeight="1" x14ac:dyDescent="0.5"/>
    <row r="892" spans="12:12" ht="12.75" customHeight="1" x14ac:dyDescent="0.5"/>
    <row r="893" spans="12:12" ht="12.75" customHeight="1" x14ac:dyDescent="0.5"/>
    <row r="894" spans="12:12" ht="12.75" customHeight="1" x14ac:dyDescent="0.5"/>
    <row r="895" spans="12:12" ht="12.75" customHeight="1" x14ac:dyDescent="0.5"/>
    <row r="896" spans="12:12" ht="12.75" customHeight="1" x14ac:dyDescent="0.5"/>
    <row r="897" ht="12.75" customHeight="1" x14ac:dyDescent="0.5"/>
    <row r="898" ht="12.75" customHeight="1" x14ac:dyDescent="0.5"/>
  </sheetData>
  <conditionalFormatting sqref="D79">
    <cfRule type="duplicateValues" dxfId="0" priority="1"/>
  </conditionalFormatting>
  <hyperlinks>
    <hyperlink ref="V99" r:id="rId1" display="https://xwcb.info/" xr:uid="{DE3C2100-BACA-49F0-B277-7F3B52974DA9}"/>
    <hyperlink ref="AB103" r:id="rId2" xr:uid="{177D5610-2641-4192-862F-BCF85D0DC8B6}"/>
    <hyperlink ref="AB101" r:id="rId3" display="https://webspecmine.org/ " xr:uid="{7C362A61-21E1-46E1-B544-62071E0003C2}"/>
    <hyperlink ref="AB100" r:id="rId4" xr:uid="{08CF7E2E-A7A7-424F-99D3-ED13F4C6B8F7}"/>
    <hyperlink ref="AB99" r:id="rId5" xr:uid="{000ADE54-1EA9-474B-A515-91E2AB3F2317}"/>
    <hyperlink ref="AB96" r:id="rId6" display="https://www.tidymass.org/" xr:uid="{58D4F9A7-608A-4DE4-A96E-4A051AFDC436}"/>
    <hyperlink ref="AB97" r:id="rId7" xr:uid="{AA73C083-3EE6-42C0-BCAC-A05B54A1ED83}"/>
    <hyperlink ref="AB94" r:id="rId8" xr:uid="{1679D912-1C6A-4823-92BF-4F48AD0C63FB}"/>
    <hyperlink ref="Z94" r:id="rId9" xr:uid="{597DA817-8B9F-425F-B272-A7D7F97F4AB6}"/>
    <hyperlink ref="AB92" r:id="rId10" xr:uid="{4353E882-9348-4E36-8E0B-D67AA29FE990}"/>
    <hyperlink ref="Z92" r:id="rId11" xr:uid="{CA387EE6-D86E-4113-85E7-E2DCDB94B0A0}"/>
    <hyperlink ref="Z90" r:id="rId12" xr:uid="{4B973D69-2C73-4856-8BB3-A8FBEB7AB789}"/>
    <hyperlink ref="Z93" r:id="rId13" xr:uid="{77D9D4F0-A3BD-48CB-A1A3-EFB0FD6AA7CE}"/>
    <hyperlink ref="AB87" r:id="rId14" xr:uid="{E48E4D38-5D43-4DE0-964E-5A7D033899D8}"/>
    <hyperlink ref="Z87" r:id="rId15" xr:uid="{81F864E7-799E-412D-B753-5AA3EE2A6F05}"/>
    <hyperlink ref="Z84" r:id="rId16" xr:uid="{8E6120FC-19F9-4A6B-ADF9-3035A7422C16}"/>
    <hyperlink ref="AB86" r:id="rId17" xr:uid="{4DEBEF76-5F35-401E-BE7E-17AABB6E4059}"/>
    <hyperlink ref="Z86" r:id="rId18" xr:uid="{70110C10-6C99-42EA-89DB-0E8686855254}"/>
    <hyperlink ref="AB85" r:id="rId19" xr:uid="{1FA118A5-4D62-465E-92C3-F5E02F8E0BC9}"/>
    <hyperlink ref="Z85" r:id="rId20" xr:uid="{25B20AE3-73D6-4770-8E46-7E72C669E8FB}"/>
    <hyperlink ref="AB83" r:id="rId21" xr:uid="{BD62744F-4D46-4EA3-BF29-FD2FE156A350}"/>
    <hyperlink ref="Z83" r:id="rId22" xr:uid="{3F67BF87-2ECD-4B0C-9E7F-92632A798328}"/>
    <hyperlink ref="Z81" r:id="rId23" xr:uid="{A9333381-A010-4483-92AE-BBB721F94D42}"/>
    <hyperlink ref="AB81" r:id="rId24" xr:uid="{6C369C98-42B6-464C-A5E8-6D5BA0AD366F}"/>
    <hyperlink ref="Z82" r:id="rId25" xr:uid="{C9464395-254F-42D8-A705-BD054F0E016D}"/>
    <hyperlink ref="Z78" r:id="rId26" xr:uid="{B3D89999-B23F-44B2-8155-08A5C5C5B8B2}"/>
    <hyperlink ref="AB76" r:id="rId27" xr:uid="{F5F96073-12C0-4237-A8B6-9BDD52551B62}"/>
    <hyperlink ref="AB79" r:id="rId28" xr:uid="{3BEEB5B0-3128-47E2-9F04-29CB1A82A6C1}"/>
    <hyperlink ref="Z79" r:id="rId29" xr:uid="{A710575D-19F3-4290-9FC9-74C753437615}"/>
    <hyperlink ref="AB73" r:id="rId30" xr:uid="{6F03B53C-B795-45B1-B3A3-88EBF70B1B3A}"/>
    <hyperlink ref="Z73" r:id="rId31" xr:uid="{D29818F7-D494-4481-B197-ABE4D41BF90E}"/>
    <hyperlink ref="AB74" r:id="rId32" xr:uid="{022D07DB-68AA-4B7C-9617-161CDC2766B8}"/>
    <hyperlink ref="AB70" r:id="rId33" display="https://bigomics.ch/omicsplayground " xr:uid="{79C4E21D-700B-4FAE-B19F-E7CA581B3BEA}"/>
    <hyperlink ref="Z69" r:id="rId34" xr:uid="{FA69ADF7-708D-4598-9551-39278D346E59}"/>
    <hyperlink ref="Z68" r:id="rId35" xr:uid="{C5F128A5-6945-4FC4-84A9-9A6BBB403807}"/>
    <hyperlink ref="AB68" r:id="rId36" xr:uid="{EF2C3ABF-E112-4880-BD5A-B61BE7F0D904}"/>
    <hyperlink ref="AB67" r:id="rId37" xr:uid="{651732C3-DDF8-4B2B-AEAB-0356A7350EB1}"/>
    <hyperlink ref="AB64" r:id="rId38" xr:uid="{10DA98F2-EFFF-4FFE-9A0D-59D6C8A1ADA3}"/>
    <hyperlink ref="AB63" r:id="rId39" xr:uid="{6120287E-DCC7-4FD1-9E41-9510A6DABD6E}"/>
    <hyperlink ref="Z63" r:id="rId40" xr:uid="{982E129C-A2CF-4B2B-A73E-8087C4E3CA14}"/>
    <hyperlink ref="AB62" r:id="rId41" xr:uid="{1C273277-C98A-48C7-AD84-F0CAEAAF28C7}"/>
    <hyperlink ref="Z61" r:id="rId42" xr:uid="{03C93010-7512-4F93-9EE3-FA9F2850DDEB}"/>
    <hyperlink ref="AB61" r:id="rId43" xr:uid="{A2FA37B2-5641-4082-A89D-1E2A20301BF3}"/>
    <hyperlink ref="AB60" r:id="rId44" xr:uid="{8F88DAB2-C7C7-4277-8A7E-039F8042656A}"/>
    <hyperlink ref="Z60" r:id="rId45" xr:uid="{066309CD-A1FC-44F5-9949-9964C653C07E}"/>
    <hyperlink ref="AB59" r:id="rId46" xr:uid="{C831E736-55A6-469D-8A99-248057FD43DB}"/>
    <hyperlink ref="Z59" r:id="rId47" location="/home" xr:uid="{4553E8F3-9AD0-43BB-8B37-E08347909378}"/>
    <hyperlink ref="AB58" r:id="rId48" xr:uid="{27523E96-1103-4D06-8126-1B22CF5042CC}"/>
    <hyperlink ref="Z57" r:id="rId49" xr:uid="{CADDD742-79B2-4B05-94E0-FD80D5FE925C}"/>
    <hyperlink ref="Z56" r:id="rId50" xr:uid="{3ADDBE5A-A2BF-4D5B-AA93-DF2AFA693DC6}"/>
    <hyperlink ref="AB55" r:id="rId51" xr:uid="{7F5C0FFA-34AC-43D0-AF7B-D5668A405DE7}"/>
    <hyperlink ref="AB53" r:id="rId52" xr:uid="{FA4E8B8D-7212-4347-8FCF-E6946C9FBD47}"/>
    <hyperlink ref="Z53" r:id="rId53" xr:uid="{6D7DB723-0548-4939-8F7D-512744A1E689}"/>
    <hyperlink ref="AB52" r:id="rId54" xr:uid="{DA172522-92F4-41B6-B625-EF9414B44EAC}"/>
    <hyperlink ref="Z52" r:id="rId55" xr:uid="{66B680D8-44A4-4221-95F5-1B7A96BBBB44}"/>
    <hyperlink ref="Z49" r:id="rId56" xr:uid="{47ACAE76-0B73-477D-BD7B-9E5D12803657}"/>
    <hyperlink ref="Z48" r:id="rId57" xr:uid="{18840B68-C806-4842-B108-C947ABB28A86}"/>
    <hyperlink ref="AB45" r:id="rId58" xr:uid="{B338C2C3-9D32-46F2-BADD-9C94AF270747}"/>
    <hyperlink ref="Z42" r:id="rId59" xr:uid="{18DBFBE6-82E3-4BD2-B765-E73DB25AC5DC}"/>
    <hyperlink ref="AB42" r:id="rId60" xr:uid="{E2B6AFFD-6B5A-425A-83C4-D6DF515BEE33}"/>
    <hyperlink ref="Z37" r:id="rId61" xr:uid="{30691E1E-2A9B-4EB3-868D-042C0A87C4A9}"/>
    <hyperlink ref="Z40" r:id="rId62" xr:uid="{AF42B7D4-8138-47BF-ACB8-929B5DBD1799}"/>
    <hyperlink ref="AB39" r:id="rId63" xr:uid="{B06BD3D8-151F-4183-946B-3D42A2500F4D}"/>
    <hyperlink ref="Z39" r:id="rId64" location="supplementary-data" xr:uid="{D1F3E48C-9137-4886-B822-F8CB0B036EF2}"/>
    <hyperlink ref="Z36" r:id="rId65" xr:uid="{E20516FE-1F6C-4495-BF16-FB9E424E9112}"/>
    <hyperlink ref="AB35" r:id="rId66" xr:uid="{4078D192-884B-4547-B7F8-2353A98E92A5}"/>
    <hyperlink ref="Z35" r:id="rId67" xr:uid="{3EEE3627-16AA-4B43-893E-ED8DF186ADEF}"/>
    <hyperlink ref="Z44" r:id="rId68" xr:uid="{DF2ED7FC-4C9F-4E85-B715-7E67747BF579}"/>
    <hyperlink ref="Z33" r:id="rId69" xr:uid="{BE8A1013-0997-4F82-AC31-50605A62BAD5}"/>
    <hyperlink ref="AB29" r:id="rId70" xr:uid="{FD8D2918-64DF-41BA-847B-9C6CA46436FD}"/>
    <hyperlink ref="AB31" r:id="rId71" display="https://toolshed.g2.bx.psu.edu/repository?repository_id=47c482a15b9fe81f" xr:uid="{6476BBC1-26E5-46C3-B821-764B49252853}"/>
    <hyperlink ref="AB28" r:id="rId72" xr:uid="{2089659D-E411-415F-AACF-AFFC08941ACC}"/>
    <hyperlink ref="AB27" r:id="rId73" xr:uid="{3DC2C4C4-D2D3-4CAF-94FA-5737B69B9F42}"/>
    <hyperlink ref="Z27" r:id="rId74" xr:uid="{3959DECE-51B6-407F-8D59-4308D33B9A35}"/>
    <hyperlink ref="AB24" r:id="rId75" xr:uid="{00E0C1CD-D50A-4481-A25E-84D8AF68314D}"/>
    <hyperlink ref="AB104" r:id="rId76" xr:uid="{53FE29C7-3C3F-4E54-935B-8BAFE046B41E}"/>
    <hyperlink ref="AB23" r:id="rId77" xr:uid="{611503FA-C496-4F58-9F93-A716C2CAEFA6}"/>
    <hyperlink ref="Z23" r:id="rId78" xr:uid="{8C6C3D8B-8F9D-4ABF-BCEA-95F6797B76AE}"/>
    <hyperlink ref="AB19" r:id="rId79" xr:uid="{DECA2AD2-658E-4B9D-A8EA-E3BF54D215C5}"/>
    <hyperlink ref="Z19" r:id="rId80" xr:uid="{F09F16FC-481F-4A3A-8E59-8B887CD0CB2E}"/>
    <hyperlink ref="AB77" r:id="rId81" xr:uid="{24BAC507-DAE6-4A16-B138-4EA58AC53EE7}"/>
    <hyperlink ref="AB21" r:id="rId82" xr:uid="{8CB9E9D2-A273-420B-9EE1-CDCBBAEB21BA}"/>
    <hyperlink ref="AB15" r:id="rId83" xr:uid="{53D5B627-00F2-4EEC-A110-4205CF2D5C1F}"/>
    <hyperlink ref="AB18" r:id="rId84" xr:uid="{26562E75-01E8-465F-A75A-B9EC506AE479}"/>
    <hyperlink ref="AB16" r:id="rId85" xr:uid="{6EF3E7EC-4106-432D-80AD-EEF1D5D25C11}"/>
    <hyperlink ref="AB10" r:id="rId86" xr:uid="{93546F11-0857-4493-86ED-C54289FB536E}"/>
    <hyperlink ref="AB11" r:id="rId87" location="8203;:contentReference%5Boaicite:1%5D%7Bindex=1%7D" display="https://github.com/MaayanLab/biojupies)&amp; - 8203;:contentReference%5Boaicite:1%5D%7Bindex=1%7D" xr:uid="{5B6240A2-2485-49EC-9046-6AF0B83827B6}"/>
    <hyperlink ref="Z11" r:id="rId88" location="8203;:contentReference%5Boaicite:0%5D%7Bindex=0%7D" display="https://www.ncbi.nlm.nih.gov/geo)&amp; - 8203;:contentReference%5Boaicite:0%5D%7Bindex=0%7D" xr:uid="{993EF518-9C77-49B8-B6AC-7D347806C35E}"/>
    <hyperlink ref="AB12" r:id="rId89" display="https://doi.org/10.17605/OSF.IO/PKD6B18" xr:uid="{064A81DA-4485-4859-8F77-0B9089F0B046}"/>
    <hyperlink ref="Z12" r:id="rId90" display="https://lipidmaps.org/biopan/" xr:uid="{C5B4FF15-F6DE-4254-9618-E6D37152AFC0}"/>
    <hyperlink ref="AB8" r:id="rId91" display="https://rxnkin.usc.es/index.php/AutoMeKin" xr:uid="{99AEFE23-AFFE-4006-9BE0-F4356B05306F}"/>
    <hyperlink ref="Z8" r:id="rId92" display="https://rxnkin.usc.es/index.php/AutoMeKin" xr:uid="{C77473A5-B6B7-4365-9E5D-405585006361}"/>
    <hyperlink ref="AB6" r:id="rId93" display="http://bioconductor.org/packages/ASICS/" xr:uid="{D6C74BC6-5C03-489B-BE5B-F67267571D0B}"/>
    <hyperlink ref="AB4" r:id="rId94" display="https://github.com/MolecularAI/aizynthfinder" xr:uid="{55F7B9D1-A3B8-48E9-A245-41BD5582C673}"/>
    <hyperlink ref="Z4" r:id="rId95" display="https://doi.org/10.6084/m9.figshare.12334577.v1" xr:uid="{6B5B5C30-C26F-4C30-919D-2F5D2BB23BF8}"/>
    <hyperlink ref="Z70" r:id="rId96" display="https://bigomics.ch/omicsplayground " xr:uid="{EA5FA818-676A-4278-8B9B-801257156E28}"/>
    <hyperlink ref="Z75" r:id="rId97" xr:uid="{66883A87-840F-4285-ABA9-A9E207E6F490}"/>
    <hyperlink ref="Z96" r:id="rId98" xr:uid="{79B18F96-44EF-4A98-A149-A3845F0F5621}"/>
    <hyperlink ref="AH101" r:id="rId99" display="https://doi.org/10.3390/metabo9100237" xr:uid="{FA7C2197-91D8-41C6-9F65-CFF45F268FF5}"/>
    <hyperlink ref="AH100" r:id="rId100" display="https://doi.org/10.18637/jss.v093.i13" xr:uid="{EA4C4CC5-AC08-40BC-88FC-86DFC717EA2A}"/>
    <hyperlink ref="AH97" r:id="rId101" display="https://doi.org/10.1093/bib/bbad250" xr:uid="{45D1206D-6827-43EF-AF61-9DB9285ADE88}"/>
    <hyperlink ref="AH75" r:id="rId102" display="https://doi.org/10.1021/jasms.4c00146" xr:uid="{9FE96A66-7758-4198-AAD1-9E059E23A3DD}"/>
    <hyperlink ref="AH49" r:id="rId103" display="https://doi.org/10.1093/nar/gkv380" xr:uid="{63F0A141-DC99-41A9-A96A-255A664E5363}"/>
    <hyperlink ref="AH50" r:id="rId104" display="https://doi.org/10.1093/bioinformatics/bty528" xr:uid="{17AA3D95-9DA4-4532-A96E-F65D4E05568E}"/>
    <hyperlink ref="AH48" r:id="rId105" display="https://doi.org/10.1093/nar/gkad389" xr:uid="{1F661C81-AEEE-47B4-AB20-0E36700D2298}"/>
    <hyperlink ref="AH32" r:id="rId106" display="https://doi.org/10.12688/f1000research.15830.2" xr:uid="{11E7CCBB-4BA0-4FFB-BC9C-5A80E243E62A}"/>
    <hyperlink ref="AH29" r:id="rId107" display="https://doi.org/10.1371/journal.pone.0160716" xr:uid="{BE17782B-74A9-4587-A69C-43395AAF7344}"/>
    <hyperlink ref="AH25" r:id="rId108" display="https://doi.org/10.1038/s41592-020-0933-6" xr:uid="{B6DA1C56-8FD0-4792-A78F-7CADEA576A2F}"/>
    <hyperlink ref="AH24" r:id="rId109" display="https://doi.org/10.1007/978-1-4939-9236-2_19" xr:uid="{A5A8FB2C-91DA-4FB4-BEC9-0ADD389474FF}"/>
    <hyperlink ref="AH104" r:id="rId110" display="https://doi.org/10.1093/nar/gkw1027" xr:uid="{CA901350-BF96-49B0-BCC5-A929B94CD1A2}"/>
    <hyperlink ref="AH19" r:id="rId111" display="https://doi.org/10.1016/j.chroma.2020.461713" xr:uid="{68D08C40-7D76-4A3E-8B2A-9311868EDE02}"/>
    <hyperlink ref="AH77" r:id="rId112" display="https://doi.org/10.1093/bib/bbac022" xr:uid="{B975371E-811F-4613-8D3A-B41478768943}"/>
  </hyperlinks>
  <pageMargins left="0.7" right="0.7" top="0.75" bottom="0.75" header="0" footer="0"/>
  <pageSetup orientation="landscape" r:id="rId1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Alsubaie</dc:creator>
  <cp:lastModifiedBy>Sarah Alsubaie</cp:lastModifiedBy>
  <dcterms:created xsi:type="dcterms:W3CDTF">2025-11-23T11:51:41Z</dcterms:created>
  <dcterms:modified xsi:type="dcterms:W3CDTF">2025-11-23T11:52:23Z</dcterms:modified>
</cp:coreProperties>
</file>